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roma/Desktop/簡宏志/codex/班表codex/"/>
    </mc:Choice>
  </mc:AlternateContent>
  <xr:revisionPtr revIDLastSave="0" documentId="13_ncr:1_{37ECC763-2A1A-3C42-A596-8DA59CBC048A}" xr6:coauthVersionLast="47" xr6:coauthVersionMax="47" xr10:uidLastSave="{00000000-0000-0000-0000-000000000000}"/>
  <bookViews>
    <workbookView xWindow="0" yWindow="600" windowWidth="44800" windowHeight="22800" activeTab="1" xr2:uid="{00000000-000D-0000-FFFF-FFFF00000000}"/>
  </bookViews>
  <sheets>
    <sheet name="工作表1" sheetId="5" r:id="rId1"/>
    <sheet name="工作表2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4" i="6" l="1" a="1"/>
  <c r="AE34" i="6" a="1"/>
  <c r="AD34" i="6" a="1"/>
  <c r="AC34" i="6" a="1"/>
  <c r="AB34" i="6" a="1"/>
  <c r="AA34" i="6" a="1"/>
  <c r="Z34" i="6" a="1"/>
  <c r="Y34" i="6" a="1"/>
  <c r="X34" i="6" a="1"/>
  <c r="W34" i="6" a="1"/>
  <c r="V34" i="6" a="1"/>
  <c r="U34" i="6" a="1"/>
  <c r="T34" i="6" a="1"/>
  <c r="S34" i="6" a="1"/>
  <c r="R34" i="6" a="1"/>
  <c r="Q34" i="6" a="1"/>
  <c r="P34" i="6" a="1"/>
  <c r="O34" i="6" a="1"/>
  <c r="N34" i="6" a="1"/>
  <c r="M34" i="6" a="1"/>
  <c r="L34" i="6" a="1"/>
  <c r="K34" i="6" a="1"/>
  <c r="J34" i="6" a="1"/>
  <c r="I34" i="6" a="1"/>
  <c r="H34" i="6" a="1"/>
  <c r="G34" i="6" a="1"/>
  <c r="F34" i="6" a="1"/>
  <c r="E34" i="6" a="1"/>
  <c r="D34" i="6" a="1"/>
  <c r="C34" i="6" a="1"/>
  <c r="B34" i="6" a="1"/>
  <c r="AG34" i="6" s="1"/>
  <c r="AF33" i="6" a="1"/>
  <c r="AE33" i="6" a="1"/>
  <c r="AD33" i="6" a="1"/>
  <c r="AC33" i="6" a="1"/>
  <c r="AB33" i="6" a="1"/>
  <c r="AA33" i="6" a="1"/>
  <c r="Z33" i="6" a="1"/>
  <c r="Y33" i="6" a="1"/>
  <c r="X33" i="6" a="1"/>
  <c r="W33" i="6" a="1"/>
  <c r="V33" i="6" a="1"/>
  <c r="U33" i="6" a="1"/>
  <c r="T33" i="6" a="1"/>
  <c r="S33" i="6" a="1"/>
  <c r="R33" i="6" a="1"/>
  <c r="Q33" i="6" a="1"/>
  <c r="P33" i="6" a="1"/>
  <c r="O33" i="6" a="1"/>
  <c r="N33" i="6" a="1"/>
  <c r="M33" i="6" a="1"/>
  <c r="L33" i="6" a="1"/>
  <c r="K33" i="6" a="1"/>
  <c r="J33" i="6" a="1"/>
  <c r="I33" i="6" a="1"/>
  <c r="H33" i="6" a="1"/>
  <c r="G33" i="6" a="1"/>
  <c r="F33" i="6" a="1"/>
  <c r="E33" i="6" a="1"/>
  <c r="D33" i="6" a="1"/>
  <c r="C33" i="6" a="1"/>
  <c r="B33" i="6" a="1"/>
  <c r="AG33" i="6" s="1"/>
  <c r="AF32" i="6" a="1"/>
  <c r="AE32" i="6" a="1"/>
  <c r="AD32" i="6" a="1"/>
  <c r="AC32" i="6" a="1"/>
  <c r="AB32" i="6" a="1"/>
  <c r="AA32" i="6" a="1"/>
  <c r="Z32" i="6" a="1"/>
  <c r="Y32" i="6" a="1"/>
  <c r="X32" i="6" a="1"/>
  <c r="W32" i="6" a="1"/>
  <c r="V32" i="6" a="1"/>
  <c r="U32" i="6" a="1"/>
  <c r="T32" i="6" a="1"/>
  <c r="S32" i="6" a="1"/>
  <c r="R32" i="6" a="1"/>
  <c r="Q32" i="6" a="1"/>
  <c r="P32" i="6" a="1"/>
  <c r="O32" i="6" a="1"/>
  <c r="N32" i="6" a="1"/>
  <c r="M32" i="6" a="1"/>
  <c r="L32" i="6" a="1"/>
  <c r="K32" i="6" a="1"/>
  <c r="J32" i="6" a="1"/>
  <c r="I32" i="6" a="1"/>
  <c r="H32" i="6" a="1"/>
  <c r="G32" i="6" a="1"/>
  <c r="F32" i="6" a="1"/>
  <c r="E32" i="6" a="1"/>
  <c r="D32" i="6" a="1"/>
  <c r="C32" i="6" a="1"/>
  <c r="B32" i="6" a="1"/>
  <c r="AG32" i="6" s="1"/>
  <c r="AF31" i="6" a="1"/>
  <c r="AE31" i="6" a="1"/>
  <c r="AD31" i="6" a="1"/>
  <c r="AC31" i="6" a="1"/>
  <c r="AB31" i="6" a="1"/>
  <c r="AA31" i="6" a="1"/>
  <c r="Z31" i="6" a="1"/>
  <c r="Y31" i="6" a="1"/>
  <c r="X31" i="6" a="1"/>
  <c r="W31" i="6" a="1"/>
  <c r="V31" i="6" a="1"/>
  <c r="U31" i="6" a="1"/>
  <c r="T31" i="6" a="1"/>
  <c r="S31" i="6" a="1"/>
  <c r="R31" i="6" a="1"/>
  <c r="Q31" i="6" a="1"/>
  <c r="P31" i="6" a="1"/>
  <c r="O31" i="6" a="1"/>
  <c r="N31" i="6" a="1"/>
  <c r="M31" i="6" a="1"/>
  <c r="L31" i="6" a="1"/>
  <c r="K31" i="6" a="1"/>
  <c r="J31" i="6" a="1"/>
  <c r="I31" i="6" a="1"/>
  <c r="H31" i="6" a="1"/>
  <c r="G31" i="6" a="1"/>
  <c r="F31" i="6" a="1"/>
  <c r="E31" i="6" a="1"/>
  <c r="D31" i="6" a="1"/>
  <c r="C31" i="6" a="1"/>
  <c r="B31" i="6" a="1"/>
  <c r="AG31" i="6" s="1"/>
  <c r="AF30" i="6" a="1"/>
  <c r="AE30" i="6" a="1"/>
  <c r="AD30" i="6" a="1"/>
  <c r="AC30" i="6" a="1"/>
  <c r="AB30" i="6" a="1"/>
  <c r="AA30" i="6" a="1"/>
  <c r="Z30" i="6" a="1"/>
  <c r="Y30" i="6" a="1"/>
  <c r="AG30" i="6" s="1"/>
  <c r="X30" i="6" a="1"/>
  <c r="W30" i="6" a="1"/>
  <c r="V30" i="6" a="1"/>
  <c r="U30" i="6" a="1"/>
  <c r="T30" i="6" a="1"/>
  <c r="S30" i="6" a="1"/>
  <c r="R30" i="6" a="1"/>
  <c r="Q30" i="6" a="1"/>
  <c r="P30" i="6" a="1"/>
  <c r="O30" i="6" a="1"/>
  <c r="N30" i="6" a="1"/>
  <c r="M30" i="6" a="1"/>
  <c r="L30" i="6" a="1"/>
  <c r="K30" i="6" a="1"/>
  <c r="J30" i="6" a="1"/>
  <c r="I30" i="6" a="1"/>
  <c r="H30" i="6" a="1"/>
  <c r="G30" i="6" a="1"/>
  <c r="F30" i="6" a="1"/>
  <c r="E30" i="6" a="1"/>
  <c r="D30" i="6" a="1"/>
  <c r="C30" i="6" a="1"/>
  <c r="B30" i="6" a="1"/>
  <c r="AF29" i="6" a="1"/>
  <c r="AE29" i="6" a="1"/>
  <c r="AD29" i="6" a="1"/>
  <c r="AC29" i="6" a="1"/>
  <c r="AB29" i="6" a="1"/>
  <c r="AA29" i="6" a="1"/>
  <c r="Z29" i="6" a="1"/>
  <c r="Y29" i="6" a="1"/>
  <c r="X29" i="6" a="1"/>
  <c r="W29" i="6" a="1"/>
  <c r="V29" i="6" a="1"/>
  <c r="U29" i="6" a="1"/>
  <c r="T29" i="6" a="1"/>
  <c r="S29" i="6" a="1"/>
  <c r="R29" i="6" a="1"/>
  <c r="Q29" i="6" a="1"/>
  <c r="P29" i="6" a="1"/>
  <c r="O29" i="6" a="1"/>
  <c r="N29" i="6" a="1"/>
  <c r="M29" i="6" a="1"/>
  <c r="L29" i="6" a="1"/>
  <c r="K29" i="6" a="1"/>
  <c r="J29" i="6" a="1"/>
  <c r="I29" i="6" a="1"/>
  <c r="H29" i="6" a="1"/>
  <c r="G29" i="6" a="1"/>
  <c r="F29" i="6" a="1"/>
  <c r="E29" i="6" a="1"/>
  <c r="D29" i="6" a="1"/>
  <c r="C29" i="6" a="1"/>
  <c r="B29" i="6" a="1"/>
  <c r="AF28" i="6" a="1"/>
  <c r="AE28" i="6" a="1"/>
  <c r="AD28" i="6" a="1"/>
  <c r="AC28" i="6" a="1"/>
  <c r="AB28" i="6" a="1"/>
  <c r="AA28" i="6" a="1"/>
  <c r="Z28" i="6" a="1"/>
  <c r="Y28" i="6" a="1"/>
  <c r="X28" i="6" a="1"/>
  <c r="W28" i="6" a="1"/>
  <c r="V28" i="6" a="1"/>
  <c r="U28" i="6" a="1"/>
  <c r="T28" i="6" a="1"/>
  <c r="S28" i="6" a="1"/>
  <c r="R28" i="6" a="1"/>
  <c r="Q28" i="6" a="1"/>
  <c r="P28" i="6" a="1"/>
  <c r="O28" i="6" a="1"/>
  <c r="N28" i="6" a="1"/>
  <c r="M28" i="6" a="1"/>
  <c r="L28" i="6" a="1"/>
  <c r="K28" i="6" a="1"/>
  <c r="J28" i="6" a="1"/>
  <c r="I28" i="6" a="1"/>
  <c r="H28" i="6" a="1"/>
  <c r="G28" i="6" a="1"/>
  <c r="F28" i="6" a="1"/>
  <c r="E28" i="6" a="1"/>
  <c r="D28" i="6" a="1"/>
  <c r="C28" i="6" a="1"/>
  <c r="B28" i="6" a="1"/>
  <c r="I27" i="6" a="1"/>
  <c r="I27" i="6" s="1"/>
  <c r="H27" i="6" a="1"/>
  <c r="H27" i="6" s="1"/>
  <c r="G27" i="6" a="1"/>
  <c r="G27" i="6" s="1"/>
  <c r="F27" i="6" a="1"/>
  <c r="F27" i="6" s="1"/>
  <c r="E27" i="6" a="1"/>
  <c r="E27" i="6" s="1"/>
  <c r="I26" i="6" a="1"/>
  <c r="I26" i="6" s="1"/>
  <c r="H26" i="6" a="1"/>
  <c r="H26" i="6" s="1"/>
  <c r="G26" i="6" a="1"/>
  <c r="G26" i="6" s="1"/>
  <c r="F26" i="6" a="1"/>
  <c r="F26" i="6" s="1"/>
  <c r="E26" i="6" a="1"/>
  <c r="E26" i="6" s="1"/>
  <c r="I25" i="6" a="1"/>
  <c r="I25" i="6" s="1"/>
  <c r="H25" i="6" a="1"/>
  <c r="H25" i="6" s="1"/>
  <c r="G25" i="6" a="1"/>
  <c r="G25" i="6" s="1"/>
  <c r="F25" i="6" a="1"/>
  <c r="F25" i="6" s="1"/>
  <c r="E25" i="6" a="1"/>
  <c r="E25" i="6" s="1"/>
  <c r="I24" i="6" a="1"/>
  <c r="I24" i="6" s="1"/>
  <c r="H24" i="6" a="1"/>
  <c r="H24" i="6" s="1"/>
  <c r="G24" i="6" a="1"/>
  <c r="G24" i="6" s="1"/>
  <c r="F24" i="6" a="1"/>
  <c r="F24" i="6" s="1"/>
  <c r="E24" i="6" a="1"/>
  <c r="E24" i="6" s="1"/>
  <c r="I23" i="6" a="1"/>
  <c r="I23" i="6" s="1"/>
  <c r="H23" i="6" a="1"/>
  <c r="H23" i="6" s="1"/>
  <c r="G23" i="6" a="1"/>
  <c r="G23" i="6" s="1"/>
  <c r="F23" i="6" a="1"/>
  <c r="F23" i="6" s="1"/>
  <c r="E23" i="6" a="1"/>
  <c r="E23" i="6" s="1"/>
  <c r="I22" i="6" a="1"/>
  <c r="I22" i="6" s="1"/>
  <c r="H22" i="6" a="1"/>
  <c r="H22" i="6" s="1"/>
  <c r="G22" i="6" a="1"/>
  <c r="G22" i="6" s="1"/>
  <c r="F22" i="6" a="1"/>
  <c r="F22" i="6" s="1"/>
  <c r="E22" i="6" a="1"/>
  <c r="E22" i="6" s="1"/>
  <c r="I21" i="6" a="1"/>
  <c r="I21" i="6" s="1"/>
  <c r="H21" i="6" a="1"/>
  <c r="H21" i="6" s="1"/>
  <c r="G21" i="6" a="1"/>
  <c r="G21" i="6" s="1"/>
  <c r="F21" i="6" a="1"/>
  <c r="F21" i="6" s="1"/>
  <c r="E21" i="6" a="1"/>
  <c r="E21" i="6" s="1"/>
  <c r="I20" i="6" a="1"/>
  <c r="I20" i="6" s="1"/>
  <c r="H20" i="6" a="1"/>
  <c r="H20" i="6" s="1"/>
  <c r="G20" i="6" a="1"/>
  <c r="G20" i="6" s="1"/>
  <c r="F20" i="6" a="1"/>
  <c r="F20" i="6" s="1"/>
  <c r="E20" i="6" a="1"/>
  <c r="E20" i="6" s="1"/>
  <c r="I19" i="6" a="1"/>
  <c r="I19" i="6" s="1"/>
  <c r="H19" i="6" a="1"/>
  <c r="H19" i="6" s="1"/>
  <c r="G19" i="6" a="1"/>
  <c r="G19" i="6" s="1"/>
  <c r="F19" i="6" a="1"/>
  <c r="F19" i="6" s="1"/>
  <c r="E19" i="6" a="1"/>
  <c r="E19" i="6" s="1"/>
  <c r="I18" i="6" a="1"/>
  <c r="I18" i="6" s="1"/>
  <c r="H18" i="6" a="1"/>
  <c r="H18" i="6" s="1"/>
  <c r="G18" i="6" a="1"/>
  <c r="G18" i="6" s="1"/>
  <c r="F18" i="6" a="1"/>
  <c r="F18" i="6" s="1"/>
  <c r="E18" i="6" a="1"/>
  <c r="E18" i="6" s="1"/>
  <c r="I17" i="6" a="1"/>
  <c r="I17" i="6" s="1"/>
  <c r="H17" i="6" a="1"/>
  <c r="H17" i="6" s="1"/>
  <c r="G17" i="6" a="1"/>
  <c r="G17" i="6" s="1"/>
  <c r="F17" i="6" a="1"/>
  <c r="F17" i="6" s="1"/>
  <c r="E17" i="6" a="1"/>
  <c r="E17" i="6" s="1"/>
  <c r="I16" i="6" a="1"/>
  <c r="I16" i="6" s="1"/>
  <c r="H16" i="6" a="1"/>
  <c r="H16" i="6" s="1"/>
  <c r="G16" i="6" a="1"/>
  <c r="G16" i="6" s="1"/>
  <c r="F16" i="6" a="1"/>
  <c r="F16" i="6" s="1"/>
  <c r="E16" i="6" a="1"/>
  <c r="E16" i="6" s="1"/>
  <c r="I15" i="6" a="1"/>
  <c r="I15" i="6" s="1"/>
  <c r="H15" i="6" a="1"/>
  <c r="H15" i="6" s="1"/>
  <c r="G15" i="6" a="1"/>
  <c r="G15" i="6" s="1"/>
  <c r="F15" i="6" a="1"/>
  <c r="F15" i="6" s="1"/>
  <c r="E15" i="6" a="1"/>
  <c r="E15" i="6" s="1"/>
  <c r="I14" i="6" a="1"/>
  <c r="I14" i="6" s="1"/>
  <c r="H14" i="6" a="1"/>
  <c r="H14" i="6" s="1"/>
  <c r="G14" i="6" a="1"/>
  <c r="G14" i="6" s="1"/>
  <c r="F14" i="6" a="1"/>
  <c r="F14" i="6" s="1"/>
  <c r="E14" i="6" a="1"/>
  <c r="E14" i="6" s="1"/>
  <c r="I13" i="6" a="1"/>
  <c r="I13" i="6" s="1"/>
  <c r="H13" i="6" a="1"/>
  <c r="H13" i="6" s="1"/>
  <c r="G13" i="6" a="1"/>
  <c r="G13" i="6" s="1"/>
  <c r="F13" i="6" a="1"/>
  <c r="F13" i="6" s="1"/>
  <c r="E13" i="6" a="1"/>
  <c r="E13" i="6" s="1"/>
  <c r="AG10" i="6"/>
  <c r="AG9" i="6"/>
  <c r="AG8" i="6"/>
  <c r="AG7" i="6"/>
  <c r="AG6" i="6"/>
  <c r="AH6" i="6" s="1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D3" i="6" s="1"/>
  <c r="C2" i="6"/>
  <c r="C3" i="6" s="1"/>
  <c r="B2" i="6"/>
  <c r="B3" i="6" s="1"/>
  <c r="AF34" i="5" a="1"/>
  <c r="AE34" i="5" a="1"/>
  <c r="AD34" i="5" a="1"/>
  <c r="AC34" i="5" a="1"/>
  <c r="AB34" i="5" a="1"/>
  <c r="AA34" i="5" a="1"/>
  <c r="Z34" i="5" a="1"/>
  <c r="Y34" i="5" a="1"/>
  <c r="X34" i="5" a="1"/>
  <c r="W34" i="5" a="1"/>
  <c r="V34" i="5" a="1"/>
  <c r="U34" i="5" a="1"/>
  <c r="T34" i="5" a="1"/>
  <c r="S34" i="5" a="1"/>
  <c r="R34" i="5" a="1"/>
  <c r="Q34" i="5" a="1"/>
  <c r="P34" i="5" a="1"/>
  <c r="O34" i="5" a="1"/>
  <c r="N34" i="5" a="1"/>
  <c r="M34" i="5" a="1"/>
  <c r="L34" i="5" a="1"/>
  <c r="K34" i="5" a="1"/>
  <c r="J34" i="5" a="1"/>
  <c r="I34" i="5" a="1"/>
  <c r="H34" i="5" a="1"/>
  <c r="G34" i="5" a="1"/>
  <c r="F34" i="5" a="1"/>
  <c r="E34" i="5" a="1"/>
  <c r="D34" i="5" a="1"/>
  <c r="C34" i="5" a="1"/>
  <c r="B34" i="5" a="1"/>
  <c r="AF33" i="5" a="1"/>
  <c r="AE33" i="5" a="1"/>
  <c r="AD33" i="5" a="1"/>
  <c r="AC33" i="5" a="1"/>
  <c r="AB33" i="5" a="1"/>
  <c r="AA33" i="5" a="1"/>
  <c r="Z33" i="5" a="1"/>
  <c r="Y33" i="5" a="1"/>
  <c r="X33" i="5" a="1"/>
  <c r="W33" i="5" a="1"/>
  <c r="V33" i="5" a="1"/>
  <c r="U33" i="5" a="1"/>
  <c r="T33" i="5" a="1"/>
  <c r="S33" i="5" a="1"/>
  <c r="R33" i="5" a="1"/>
  <c r="Q33" i="5" a="1"/>
  <c r="P33" i="5" a="1"/>
  <c r="O33" i="5" a="1"/>
  <c r="N33" i="5" a="1"/>
  <c r="M33" i="5" a="1"/>
  <c r="L33" i="5" a="1"/>
  <c r="K33" i="5" a="1"/>
  <c r="J33" i="5" a="1"/>
  <c r="I33" i="5" a="1"/>
  <c r="H33" i="5" a="1"/>
  <c r="G33" i="5" a="1"/>
  <c r="F33" i="5" a="1"/>
  <c r="E33" i="5" a="1"/>
  <c r="D33" i="5" a="1"/>
  <c r="C33" i="5" a="1"/>
  <c r="B33" i="5" a="1"/>
  <c r="AF32" i="5" a="1"/>
  <c r="AE32" i="5" a="1"/>
  <c r="AD32" i="5" a="1"/>
  <c r="AC32" i="5" a="1"/>
  <c r="AB32" i="5" a="1"/>
  <c r="AA32" i="5" a="1"/>
  <c r="Z32" i="5" a="1"/>
  <c r="Y32" i="5" a="1"/>
  <c r="X32" i="5" a="1"/>
  <c r="W32" i="5" a="1"/>
  <c r="V32" i="5" a="1"/>
  <c r="U32" i="5" a="1"/>
  <c r="T32" i="5" a="1"/>
  <c r="S32" i="5" a="1"/>
  <c r="R32" i="5" a="1"/>
  <c r="Q32" i="5" a="1"/>
  <c r="P32" i="5" a="1"/>
  <c r="O32" i="5" a="1"/>
  <c r="N32" i="5" a="1"/>
  <c r="M32" i="5" a="1"/>
  <c r="L32" i="5" a="1"/>
  <c r="K32" i="5" a="1"/>
  <c r="J32" i="5" a="1"/>
  <c r="I32" i="5" a="1"/>
  <c r="H32" i="5" a="1"/>
  <c r="G32" i="5" a="1"/>
  <c r="F32" i="5" a="1"/>
  <c r="E32" i="5" a="1"/>
  <c r="D32" i="5" a="1"/>
  <c r="C32" i="5" a="1"/>
  <c r="B32" i="5" a="1"/>
  <c r="AF31" i="5" a="1"/>
  <c r="AE31" i="5" a="1"/>
  <c r="AD31" i="5" a="1"/>
  <c r="AC31" i="5" a="1"/>
  <c r="AB31" i="5" a="1"/>
  <c r="AA31" i="5" a="1"/>
  <c r="Z31" i="5" a="1"/>
  <c r="Y31" i="5" a="1"/>
  <c r="X31" i="5" a="1"/>
  <c r="W31" i="5" a="1"/>
  <c r="V31" i="5" a="1"/>
  <c r="U31" i="5" a="1"/>
  <c r="T31" i="5" a="1"/>
  <c r="S31" i="5" a="1"/>
  <c r="R31" i="5" a="1"/>
  <c r="Q31" i="5" a="1"/>
  <c r="P31" i="5" a="1"/>
  <c r="O31" i="5" a="1"/>
  <c r="N31" i="5" a="1"/>
  <c r="M31" i="5" a="1"/>
  <c r="L31" i="5" a="1"/>
  <c r="K31" i="5" a="1"/>
  <c r="J31" i="5" a="1"/>
  <c r="I31" i="5" a="1"/>
  <c r="H31" i="5" a="1"/>
  <c r="G31" i="5" a="1"/>
  <c r="F31" i="5" a="1"/>
  <c r="E31" i="5" a="1"/>
  <c r="D31" i="5" a="1"/>
  <c r="C31" i="5" a="1"/>
  <c r="B31" i="5" a="1"/>
  <c r="AF30" i="5" a="1"/>
  <c r="AE30" i="5" a="1"/>
  <c r="AD30" i="5" a="1"/>
  <c r="AC30" i="5" a="1"/>
  <c r="AB30" i="5" a="1"/>
  <c r="AA30" i="5" a="1"/>
  <c r="Z30" i="5" a="1"/>
  <c r="Y30" i="5" a="1"/>
  <c r="X30" i="5" a="1"/>
  <c r="W30" i="5" a="1"/>
  <c r="V30" i="5" a="1"/>
  <c r="U30" i="5" a="1"/>
  <c r="T30" i="5" a="1"/>
  <c r="S30" i="5" a="1"/>
  <c r="R30" i="5" a="1"/>
  <c r="Q30" i="5" a="1"/>
  <c r="P30" i="5" a="1"/>
  <c r="O30" i="5" a="1"/>
  <c r="N30" i="5" a="1"/>
  <c r="M30" i="5" a="1"/>
  <c r="L30" i="5" a="1"/>
  <c r="K30" i="5" a="1"/>
  <c r="J30" i="5" a="1"/>
  <c r="I30" i="5" a="1"/>
  <c r="H30" i="5" a="1"/>
  <c r="G30" i="5" a="1"/>
  <c r="F30" i="5" a="1"/>
  <c r="E30" i="5" a="1"/>
  <c r="D30" i="5" a="1"/>
  <c r="C30" i="5" a="1"/>
  <c r="B30" i="5" a="1"/>
  <c r="AF29" i="5" a="1"/>
  <c r="AE29" i="5" a="1"/>
  <c r="AD29" i="5" a="1"/>
  <c r="AC29" i="5" a="1"/>
  <c r="AB29" i="5" a="1"/>
  <c r="AA29" i="5" a="1"/>
  <c r="Z29" i="5" a="1"/>
  <c r="Y29" i="5" a="1"/>
  <c r="X29" i="5" a="1"/>
  <c r="W29" i="5" a="1"/>
  <c r="V29" i="5" a="1"/>
  <c r="U29" i="5" a="1"/>
  <c r="T29" i="5" a="1"/>
  <c r="S29" i="5" a="1"/>
  <c r="R29" i="5" a="1"/>
  <c r="Q29" i="5" a="1"/>
  <c r="P29" i="5" a="1"/>
  <c r="O29" i="5" a="1"/>
  <c r="N29" i="5" a="1"/>
  <c r="M29" i="5" a="1"/>
  <c r="L29" i="5" a="1"/>
  <c r="K29" i="5" a="1"/>
  <c r="J29" i="5" a="1"/>
  <c r="I29" i="5" a="1"/>
  <c r="H29" i="5" a="1"/>
  <c r="G29" i="5" a="1"/>
  <c r="F29" i="5" a="1"/>
  <c r="E29" i="5" a="1"/>
  <c r="D29" i="5" a="1"/>
  <c r="C29" i="5" a="1"/>
  <c r="B29" i="5" a="1"/>
  <c r="AF28" i="5" a="1"/>
  <c r="AE28" i="5" a="1"/>
  <c r="AD28" i="5" a="1"/>
  <c r="AC28" i="5" a="1"/>
  <c r="AB28" i="5" a="1"/>
  <c r="AA28" i="5" a="1"/>
  <c r="Z28" i="5" a="1"/>
  <c r="Y28" i="5" a="1"/>
  <c r="X28" i="5" a="1"/>
  <c r="W28" i="5" a="1"/>
  <c r="V28" i="5" a="1"/>
  <c r="U28" i="5" a="1"/>
  <c r="T28" i="5" a="1"/>
  <c r="S28" i="5" a="1"/>
  <c r="R28" i="5" a="1"/>
  <c r="Q28" i="5" a="1"/>
  <c r="P28" i="5" a="1"/>
  <c r="O28" i="5" a="1"/>
  <c r="N28" i="5" a="1"/>
  <c r="M28" i="5" a="1"/>
  <c r="L28" i="5" a="1"/>
  <c r="K28" i="5" a="1"/>
  <c r="J28" i="5" a="1"/>
  <c r="I28" i="5" a="1"/>
  <c r="H28" i="5" a="1"/>
  <c r="G28" i="5" a="1"/>
  <c r="F28" i="5" a="1"/>
  <c r="E28" i="5" a="1"/>
  <c r="D28" i="5" a="1"/>
  <c r="C28" i="5" a="1"/>
  <c r="B28" i="5" a="1"/>
  <c r="I27" i="5" a="1"/>
  <c r="H27" i="5" a="1"/>
  <c r="G27" i="5" a="1"/>
  <c r="F27" i="5" a="1"/>
  <c r="E27" i="5" a="1"/>
  <c r="I26" i="5" a="1"/>
  <c r="H26" i="5" a="1"/>
  <c r="G26" i="5" a="1"/>
  <c r="F26" i="5" a="1"/>
  <c r="E26" i="5" a="1"/>
  <c r="I25" i="5" a="1"/>
  <c r="H25" i="5" a="1"/>
  <c r="G25" i="5" a="1"/>
  <c r="F25" i="5" a="1"/>
  <c r="E25" i="5" a="1"/>
  <c r="I24" i="5" a="1"/>
  <c r="H24" i="5" a="1"/>
  <c r="G24" i="5" a="1"/>
  <c r="F24" i="5" a="1"/>
  <c r="E24" i="5" a="1"/>
  <c r="I23" i="5" a="1"/>
  <c r="H23" i="5" a="1"/>
  <c r="G23" i="5" a="1"/>
  <c r="F23" i="5" a="1"/>
  <c r="E23" i="5" a="1"/>
  <c r="I22" i="5" a="1"/>
  <c r="H22" i="5" a="1"/>
  <c r="G22" i="5" a="1"/>
  <c r="F22" i="5" a="1"/>
  <c r="E22" i="5" a="1"/>
  <c r="I21" i="5" a="1"/>
  <c r="H21" i="5" a="1"/>
  <c r="G21" i="5" a="1"/>
  <c r="F21" i="5" a="1"/>
  <c r="E21" i="5" a="1"/>
  <c r="I20" i="5" a="1"/>
  <c r="H20" i="5" a="1"/>
  <c r="G20" i="5" a="1"/>
  <c r="F20" i="5" a="1"/>
  <c r="E20" i="5" a="1"/>
  <c r="I19" i="5" a="1"/>
  <c r="H19" i="5" a="1"/>
  <c r="G19" i="5" a="1"/>
  <c r="F19" i="5" a="1"/>
  <c r="E19" i="5" a="1"/>
  <c r="I18" i="5" a="1"/>
  <c r="H18" i="5" a="1"/>
  <c r="G18" i="5" a="1"/>
  <c r="F18" i="5" a="1"/>
  <c r="E18" i="5" a="1"/>
  <c r="I17" i="5" a="1"/>
  <c r="H17" i="5" a="1"/>
  <c r="G17" i="5" a="1"/>
  <c r="F17" i="5" a="1"/>
  <c r="E17" i="5" a="1"/>
  <c r="I16" i="5" a="1"/>
  <c r="H16" i="5" a="1"/>
  <c r="G16" i="5" a="1"/>
  <c r="F16" i="5" a="1"/>
  <c r="E16" i="5" a="1"/>
  <c r="I15" i="5" a="1"/>
  <c r="H15" i="5" a="1"/>
  <c r="G15" i="5" a="1"/>
  <c r="F15" i="5" a="1"/>
  <c r="E15" i="5" a="1"/>
  <c r="I14" i="5" a="1"/>
  <c r="H14" i="5" a="1"/>
  <c r="G14" i="5" a="1"/>
  <c r="F14" i="5" a="1"/>
  <c r="E14" i="5" a="1"/>
  <c r="I13" i="5" a="1"/>
  <c r="H13" i="5" a="1"/>
  <c r="G13" i="5" a="1"/>
  <c r="F13" i="5" a="1"/>
  <c r="E13" i="5" a="1"/>
  <c r="D3" i="5"/>
  <c r="C3" i="5"/>
  <c r="B3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AG29" i="6" l="1"/>
  <c r="AG5" i="6"/>
  <c r="AG28" i="6"/>
  <c r="AG4" i="6"/>
  <c r="AG12" i="6" s="1"/>
  <c r="E3" i="5"/>
  <c r="F3" i="5"/>
  <c r="N3" i="5"/>
  <c r="L3" i="5"/>
  <c r="K3" i="5"/>
  <c r="J3" i="5"/>
  <c r="I3" i="5"/>
  <c r="H3" i="5"/>
  <c r="G3" i="5"/>
  <c r="M3" i="5"/>
  <c r="E27" i="5"/>
  <c r="E26" i="5"/>
  <c r="E25" i="5"/>
  <c r="F24" i="5"/>
  <c r="I19" i="5"/>
  <c r="I18" i="5"/>
  <c r="I17" i="5"/>
  <c r="I16" i="5"/>
  <c r="G15" i="5"/>
  <c r="G14" i="5"/>
  <c r="U3" i="5"/>
  <c r="H27" i="5"/>
  <c r="H26" i="5"/>
  <c r="I25" i="5"/>
  <c r="I24" i="5"/>
  <c r="I23" i="5"/>
  <c r="H19" i="5"/>
  <c r="G19" i="5"/>
  <c r="G18" i="5"/>
  <c r="F17" i="5"/>
  <c r="I15" i="5"/>
  <c r="I14" i="5"/>
  <c r="H13" i="5"/>
  <c r="I27" i="5"/>
  <c r="F25" i="5"/>
  <c r="H24" i="5"/>
  <c r="H23" i="5"/>
  <c r="E19" i="5"/>
  <c r="F18" i="5"/>
  <c r="E17" i="5"/>
  <c r="H15" i="5"/>
  <c r="F15" i="5"/>
  <c r="F14" i="5"/>
  <c r="E13" i="5"/>
  <c r="F23" i="5"/>
  <c r="E23" i="5"/>
  <c r="I22" i="5"/>
  <c r="H22" i="5"/>
  <c r="G22" i="5"/>
  <c r="F22" i="5"/>
  <c r="E22" i="5"/>
  <c r="I21" i="5"/>
  <c r="H21" i="5"/>
  <c r="G21" i="5"/>
  <c r="F21" i="5"/>
  <c r="E21" i="5"/>
  <c r="I20" i="5"/>
  <c r="H20" i="5"/>
  <c r="G20" i="5"/>
  <c r="H17" i="5"/>
  <c r="F16" i="5"/>
  <c r="G13" i="5"/>
  <c r="F27" i="5"/>
  <c r="H25" i="5"/>
  <c r="E24" i="5"/>
  <c r="H18" i="5"/>
  <c r="G16" i="5"/>
  <c r="I13" i="5"/>
  <c r="G27" i="5"/>
  <c r="G26" i="5"/>
  <c r="F26" i="5"/>
  <c r="G25" i="5"/>
  <c r="G24" i="5"/>
  <c r="F20" i="5"/>
  <c r="E20" i="5"/>
  <c r="F19" i="5"/>
  <c r="E18" i="5"/>
  <c r="H16" i="5"/>
  <c r="E16" i="5"/>
  <c r="E15" i="5"/>
  <c r="E14" i="5"/>
  <c r="AF3" i="5"/>
  <c r="AE3" i="5"/>
  <c r="AD3" i="5"/>
  <c r="AC3" i="5"/>
  <c r="AB3" i="5"/>
  <c r="AA3" i="5"/>
  <c r="Z3" i="5"/>
  <c r="Y3" i="5"/>
  <c r="X3" i="5"/>
  <c r="W3" i="5"/>
  <c r="V3" i="5"/>
  <c r="T3" i="5"/>
  <c r="S3" i="5"/>
  <c r="R3" i="5"/>
  <c r="Q3" i="5"/>
  <c r="P3" i="5"/>
  <c r="O3" i="5"/>
  <c r="I26" i="5"/>
  <c r="G23" i="5"/>
  <c r="G17" i="5"/>
  <c r="H14" i="5"/>
  <c r="F13" i="5"/>
  <c r="AG34" i="5" l="1"/>
  <c r="AG10" i="5"/>
  <c r="AG9" i="5"/>
  <c r="AG33" i="5"/>
  <c r="AG6" i="5"/>
  <c r="AH6" i="5" s="1"/>
  <c r="AG30" i="5"/>
  <c r="AG28" i="5"/>
  <c r="AG4" i="5"/>
  <c r="AG32" i="5"/>
  <c r="AG8" i="5"/>
  <c r="AG31" i="5"/>
  <c r="AG7" i="5"/>
  <c r="AG5" i="5"/>
  <c r="AG29" i="5"/>
  <c r="AG12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<sst xmlns="http://schemas.openxmlformats.org/spreadsheetml/2006/main" count="508" uniqueCount="74">
  <si>
    <t>年</t>
    <phoneticPr fontId="1" type="noConversion"/>
  </si>
  <si>
    <t>月</t>
    <phoneticPr fontId="1" type="noConversion"/>
  </si>
  <si>
    <t>日期</t>
    <phoneticPr fontId="1" type="noConversion"/>
  </si>
  <si>
    <t>人員</t>
    <phoneticPr fontId="1" type="noConversion"/>
  </si>
  <si>
    <t>宏志</t>
  </si>
  <si>
    <t>A</t>
  </si>
  <si>
    <t>佳惠</t>
  </si>
  <si>
    <t>重琦</t>
  </si>
  <si>
    <t>M</t>
    <phoneticPr fontId="2" type="noConversion"/>
  </si>
  <si>
    <t>8~17</t>
    <phoneticPr fontId="2" type="noConversion"/>
  </si>
  <si>
    <t>M8</t>
    <phoneticPr fontId="2" type="noConversion"/>
  </si>
  <si>
    <t>8~13</t>
    <phoneticPr fontId="2" type="noConversion"/>
  </si>
  <si>
    <t>M10</t>
    <phoneticPr fontId="2" type="noConversion"/>
  </si>
  <si>
    <t>10~18</t>
    <phoneticPr fontId="2" type="noConversion"/>
  </si>
  <si>
    <t>E</t>
    <phoneticPr fontId="2" type="noConversion"/>
  </si>
  <si>
    <t>17~22</t>
    <phoneticPr fontId="2" type="noConversion"/>
  </si>
  <si>
    <t>13~22</t>
    <phoneticPr fontId="2" type="noConversion"/>
  </si>
  <si>
    <t>O</t>
    <phoneticPr fontId="2" type="noConversion"/>
  </si>
  <si>
    <t>OFF</t>
    <phoneticPr fontId="2" type="noConversion"/>
  </si>
  <si>
    <t>M16</t>
    <phoneticPr fontId="2" type="noConversion"/>
  </si>
  <si>
    <t>8~16</t>
    <phoneticPr fontId="2" type="noConversion"/>
  </si>
  <si>
    <t>E16</t>
    <phoneticPr fontId="2" type="noConversion"/>
  </si>
  <si>
    <t>16~22</t>
    <phoneticPr fontId="2" type="noConversion"/>
  </si>
  <si>
    <t>總時數</t>
    <phoneticPr fontId="1" type="noConversion"/>
  </si>
  <si>
    <t>吉康藥局</t>
    <phoneticPr fontId="1" type="noConversion"/>
  </si>
  <si>
    <t>班表</t>
    <phoneticPr fontId="1" type="noConversion"/>
  </si>
  <si>
    <t>12~22</t>
  </si>
  <si>
    <t>E13</t>
    <phoneticPr fontId="2" type="noConversion"/>
  </si>
  <si>
    <t>E14</t>
    <phoneticPr fontId="1" type="noConversion"/>
  </si>
  <si>
    <t>14~22</t>
    <phoneticPr fontId="1" type="noConversion"/>
  </si>
  <si>
    <t>E15</t>
    <phoneticPr fontId="1" type="noConversion"/>
  </si>
  <si>
    <t>15~22</t>
    <phoneticPr fontId="1" type="noConversion"/>
  </si>
  <si>
    <t>M15</t>
    <phoneticPr fontId="1" type="noConversion"/>
  </si>
  <si>
    <t>8~15</t>
    <phoneticPr fontId="1" type="noConversion"/>
  </si>
  <si>
    <t>M9</t>
    <phoneticPr fontId="1" type="noConversion"/>
  </si>
  <si>
    <t>9~18</t>
    <phoneticPr fontId="1" type="noConversion"/>
  </si>
  <si>
    <t>士昂</t>
    <phoneticPr fontId="1" type="noConversion"/>
  </si>
  <si>
    <t>X</t>
    <phoneticPr fontId="1" type="noConversion"/>
  </si>
  <si>
    <t xml:space="preserve"> </t>
    <phoneticPr fontId="1" type="noConversion"/>
  </si>
  <si>
    <t>鈺茜</t>
    <phoneticPr fontId="1" type="noConversion"/>
  </si>
  <si>
    <t>早</t>
    <phoneticPr fontId="1" type="noConversion"/>
  </si>
  <si>
    <t>午</t>
    <phoneticPr fontId="1" type="noConversion"/>
  </si>
  <si>
    <t>þ</t>
    <phoneticPr fontId="1" type="noConversion"/>
  </si>
  <si>
    <t>盈萱</t>
    <phoneticPr fontId="1" type="noConversion"/>
  </si>
  <si>
    <t>～</t>
    <phoneticPr fontId="1" type="noConversion"/>
  </si>
  <si>
    <t>晚</t>
    <phoneticPr fontId="1" type="noConversion"/>
  </si>
  <si>
    <t>S</t>
    <phoneticPr fontId="1" type="noConversion"/>
  </si>
  <si>
    <t>8~13 17~21</t>
    <phoneticPr fontId="1" type="noConversion"/>
  </si>
  <si>
    <t>特14</t>
    <phoneticPr fontId="1" type="noConversion"/>
  </si>
  <si>
    <t>恩婕</t>
    <phoneticPr fontId="1" type="noConversion"/>
  </si>
  <si>
    <t xml:space="preserve">                          </t>
    <phoneticPr fontId="1" type="noConversion"/>
  </si>
  <si>
    <t>時數</t>
    <phoneticPr fontId="1" type="noConversion"/>
  </si>
  <si>
    <t>盈萱</t>
  </si>
  <si>
    <t>鈺茜</t>
  </si>
  <si>
    <t>士昂</t>
  </si>
  <si>
    <t>恩婕</t>
  </si>
  <si>
    <t>E</t>
  </si>
  <si>
    <t>x</t>
    <phoneticPr fontId="1" type="noConversion"/>
  </si>
  <si>
    <t>O</t>
  </si>
  <si>
    <t>M</t>
  </si>
  <si>
    <t>M9</t>
  </si>
  <si>
    <t>M8</t>
  </si>
  <si>
    <t>8.5 17</t>
    <phoneticPr fontId="1" type="noConversion"/>
  </si>
  <si>
    <t>8.5 13</t>
    <phoneticPr fontId="1" type="noConversion"/>
  </si>
  <si>
    <t>8.5 15</t>
    <phoneticPr fontId="1" type="noConversion"/>
  </si>
  <si>
    <t>15 21</t>
    <phoneticPr fontId="1" type="noConversion"/>
  </si>
  <si>
    <t>18 21</t>
    <phoneticPr fontId="1" type="noConversion"/>
  </si>
  <si>
    <t>特10</t>
    <phoneticPr fontId="1" type="noConversion"/>
  </si>
  <si>
    <t>E13</t>
  </si>
  <si>
    <t>E15</t>
  </si>
  <si>
    <t>M15</t>
  </si>
  <si>
    <t>13 21</t>
    <phoneticPr fontId="1" type="noConversion"/>
  </si>
  <si>
    <t>14 21</t>
    <phoneticPr fontId="1" type="noConversion"/>
  </si>
  <si>
    <t>空白天數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</si>
</sst>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4]aaaa;@"/>
  </numFmts>
  <fonts count="1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rgb="FF006100"/>
      <name val="新細明體"/>
      <family val="2"/>
      <charset val="136"/>
      <scheme val="minor"/>
    </font>
    <font>
      <sz val="12"/>
      <color theme="1"/>
      <name val="假粉圓"/>
      <family val="2"/>
      <charset val="136"/>
    </font>
    <font>
      <sz val="16"/>
      <color theme="1"/>
      <name val="假粉圓"/>
      <family val="2"/>
      <charset val="136"/>
    </font>
    <font>
      <sz val="12"/>
      <color rgb="FF000000"/>
      <name val="假粉圓"/>
      <family val="2"/>
      <charset val="136"/>
    </font>
    <font>
      <sz val="12"/>
      <color theme="1"/>
      <name val="新細明體"/>
      <family val="1"/>
      <charset val="136"/>
    </font>
    <font>
      <sz val="12"/>
      <color theme="1"/>
      <name val="Wingdings"/>
      <charset val="2"/>
    </font>
    <font>
      <sz val="12"/>
      <color theme="1"/>
      <name val="假粉圓"/>
      <family val="3"/>
      <charset val="136"/>
    </font>
    <font>
      <sz val="9"/>
      <color theme="1"/>
      <name val="假粉圓"/>
      <family val="3"/>
      <charset val="136"/>
    </font>
    <font>
      <sz val="14"/>
      <color theme="1"/>
      <name val="假粉圓"/>
      <family val="2"/>
      <charset val="136"/>
    </font>
    <font>
      <sz val="11"/>
      <color theme="1"/>
      <name val="假粉圓"/>
      <family val="3"/>
      <charset val="136"/>
    </font>
    <font>
      <sz val="12"/>
      <color rgb="FFFF0000"/>
      <name val="假粉圓"/>
      <family val="3"/>
      <charset val="136"/>
    </font>
    <font>
      <sz val="11"/>
      <color rgb="FFFF0000"/>
      <name val="假粉圓"/>
      <family val="3"/>
      <charset val="136"/>
    </font>
    <font>
      <b/>
      <sz val="12"/>
      <color rgb="FFFF0000"/>
      <name val="假粉圓"/>
      <family val="3"/>
      <charset val="136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5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4" fillId="0" borderId="0" xfId="0" applyFont="1" applyProtection="1">
      <alignment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2" xfId="0" applyFont="1" applyBorder="1" applyProtection="1">
      <alignment vertical="center"/>
      <protection locked="0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0" fontId="4" fillId="2" borderId="0" xfId="0" applyFont="1" applyFill="1">
      <alignment vertical="center"/>
    </xf>
    <xf numFmtId="0" fontId="4" fillId="0" borderId="1" xfId="0" applyFont="1" applyBorder="1" applyProtection="1">
      <alignment vertical="center"/>
      <protection locked="0"/>
    </xf>
    <xf numFmtId="0" fontId="4" fillId="3" borderId="0" xfId="0" applyFont="1" applyFill="1" applyAlignment="1" applyProtection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Protection="1">
      <alignment vertical="center"/>
      <protection locked="0"/>
    </xf>
    <xf numFmtId="0" fontId="4" fillId="0" borderId="11" xfId="0" applyFont="1" applyBorder="1" applyProtection="1">
      <alignment vertical="center"/>
      <protection locked="0"/>
    </xf>
    <xf numFmtId="0" fontId="9" fillId="3" borderId="2" xfId="0" applyFont="1" applyFill="1" applyBorder="1" applyAlignment="1" applyProtection="1">
      <alignment horizontal="center" vertical="center" wrapText="1"/>
      <protection locked="0"/>
    </xf>
    <xf numFmtId="176" fontId="9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3" borderId="2" xfId="1" applyFont="1" applyFill="1" applyBorder="1" applyAlignment="1" applyProtection="1">
      <alignment horizontal="center" vertical="center" wrapText="1"/>
      <protection locked="0"/>
    </xf>
    <xf numFmtId="176" fontId="9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4" borderId="2" xfId="0" applyFont="1" applyFill="1" applyBorder="1" applyAlignment="1" applyProtection="1">
      <alignment horizontal="center" vertical="center"/>
      <protection locked="0"/>
    </xf>
    <xf numFmtId="176" fontId="9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0" xfId="0" applyFont="1" applyFill="1">
      <alignment vertical="center"/>
    </xf>
    <xf numFmtId="0" fontId="4" fillId="3" borderId="4" xfId="0" applyFont="1" applyFill="1" applyBorder="1" applyAlignment="1" applyProtection="1">
      <alignment horizontal="center" vertical="center"/>
      <protection locked="0"/>
    </xf>
    <xf numFmtId="0" fontId="4" fillId="3" borderId="8" xfId="0" applyFont="1" applyFill="1" applyBorder="1" applyAlignment="1">
      <alignment horizontal="center" vertical="center" wrapText="1"/>
    </xf>
    <xf numFmtId="20" fontId="10" fillId="3" borderId="9" xfId="0" applyNumberFormat="1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20" fontId="10" fillId="3" borderId="10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20" fontId="10" fillId="3" borderId="6" xfId="0" applyNumberFormat="1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20" fontId="10" fillId="3" borderId="7" xfId="0" applyNumberFormat="1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12" fillId="3" borderId="2" xfId="0" applyFont="1" applyFill="1" applyBorder="1" applyAlignment="1" applyProtection="1">
      <alignment horizontal="center" vertical="center" wrapText="1"/>
      <protection locked="0"/>
    </xf>
    <xf numFmtId="0" fontId="9" fillId="3" borderId="1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0" borderId="0" xfId="0" applyFont="1" applyProtection="1">
      <alignment vertical="center"/>
      <protection locked="0"/>
    </xf>
    <xf numFmtId="0" fontId="9" fillId="0" borderId="1" xfId="0" applyFont="1" applyBorder="1" applyAlignment="1" applyProtection="1">
      <alignment horizontal="right" vertical="center"/>
      <protection locked="0"/>
    </xf>
    <xf numFmtId="0" fontId="9" fillId="0" borderId="3" xfId="0" applyFont="1" applyBorder="1" applyAlignment="1" applyProtection="1">
      <alignment horizontal="left" vertical="center"/>
      <protection locked="0"/>
    </xf>
    <xf numFmtId="0" fontId="9" fillId="2" borderId="2" xfId="0" applyFont="1" applyFill="1" applyBorder="1" applyAlignment="1" applyProtection="1">
      <alignment horizontal="center" vertical="center" wrapText="1"/>
      <protection locked="0"/>
    </xf>
    <xf numFmtId="0" fontId="9" fillId="2" borderId="2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4" borderId="1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Protection="1">
      <alignment vertical="center"/>
      <protection locked="0"/>
    </xf>
    <xf numFmtId="0" fontId="9" fillId="6" borderId="2" xfId="0" applyFont="1" applyFill="1" applyBorder="1" applyAlignment="1" applyProtection="1">
      <alignment horizontal="center" vertical="center" wrapText="1"/>
      <protection locked="0"/>
    </xf>
    <xf numFmtId="176" fontId="9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3" borderId="2" xfId="0" applyFont="1" applyFill="1" applyBorder="1" applyAlignment="1" applyProtection="1">
      <alignment horizontal="center" vertical="center" wrapText="1"/>
      <protection locked="0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 applyProtection="1">
      <alignment horizontal="center" vertical="center" wrapText="1"/>
      <protection locked="0"/>
    </xf>
    <xf numFmtId="0" fontId="15" fillId="3" borderId="2" xfId="0" applyFont="1" applyFill="1" applyBorder="1" applyAlignment="1">
      <alignment horizontal="center" vertical="center" wrapText="1"/>
    </xf>
    <xf numFmtId="0" fontId="5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9" fillId="7" borderId="2" xfId="0" applyFont="1" applyFill="1" applyBorder="1" applyAlignment="1" applyProtection="1">
      <alignment horizontal="center" vertical="center" wrapText="1"/>
      <protection locked="0"/>
    </xf>
    <xf numFmtId="176" fontId="9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4" borderId="2" xfId="0" applyFont="1" applyFill="1" applyBorder="1" applyAlignment="1" applyProtection="1">
      <alignment horizontal="center" vertical="center" wrapText="1"/>
      <protection locked="0"/>
    </xf>
    <xf numFmtId="0" fontId="13" fillId="8" borderId="2" xfId="0" applyFont="1" applyFill="1" applyBorder="1" applyAlignment="1">
      <alignment horizontal="center" vertical="center" wrapText="1"/>
    </xf>
  </cellXfs>
  <cellStyles count="2">
    <cellStyle name="一般" xfId="0" builtinId="0"/>
    <cellStyle name="好" xfId="1" builtinId="26"/>
  </cellStyles>
  <dxfs count="4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16" fmlaLink="$V$1" max="120" min="102" page="10" val="115"/>
</file>

<file path=xl/ctrlProps/ctrlProp2.xml><?xml version="1.0" encoding="utf-8"?>
<formControlPr xmlns="http://schemas.microsoft.com/office/spreadsheetml/2009/9/main" objectType="Spin" dx="16" fmlaLink="$Z$1" max="12" min="1" page="10" val="6"/>
</file>

<file path=xl/ctrlProps/ctrlProp3.xml><?xml version="1.0" encoding="utf-8"?>
<formControlPr xmlns="http://schemas.microsoft.com/office/spreadsheetml/2009/9/main" objectType="Spin" dx="16" fmlaLink="$V$1" max="120" min="102" page="10" val="115"/>
</file>

<file path=xl/ctrlProps/ctrlProp4.xml><?xml version="1.0" encoding="utf-8"?>
<formControlPr xmlns="http://schemas.microsoft.com/office/spreadsheetml/2009/9/main" objectType="Spin" dx="16" fmlaLink="$Z$1" max="12" min="1" page="10" val="7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9525</xdr:colOff>
      <xdr:row>3</xdr:row>
      <xdr:rowOff>0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7DB8107E-8869-374C-B0E8-1DB6648AB322}"/>
            </a:ext>
          </a:extLst>
        </xdr:cNvPr>
        <xdr:cNvCxnSpPr/>
      </xdr:nvCxnSpPr>
      <xdr:spPr>
        <a:xfrm>
          <a:off x="0" y="381000"/>
          <a:ext cx="974725" cy="508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114300</xdr:colOff>
          <xdr:row>0</xdr:row>
          <xdr:rowOff>25400</xdr:rowOff>
        </xdr:from>
        <xdr:to>
          <xdr:col>32</xdr:col>
          <xdr:colOff>520700</xdr:colOff>
          <xdr:row>1</xdr:row>
          <xdr:rowOff>0</xdr:rowOff>
        </xdr:to>
        <xdr:sp macro="" textlink="">
          <xdr:nvSpPr>
            <xdr:cNvPr id="3073" name="Spinner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33</xdr:col>
          <xdr:colOff>177800</xdr:colOff>
          <xdr:row>0</xdr:row>
          <xdr:rowOff>12700</xdr:rowOff>
        </xdr:from>
        <xdr:to>
          <xdr:col>34</xdr:col>
          <xdr:colOff>12700</xdr:colOff>
          <xdr:row>1</xdr:row>
          <xdr:rowOff>12700</xdr:rowOff>
        </xdr:to>
        <xdr:sp macro="" textlink="">
          <xdr:nvSpPr>
            <xdr:cNvPr id="3074" name="Spinner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xdr:twoCellAnchor>
    <xdr:from>
      <xdr:col>0</xdr:col>
      <xdr:colOff>0</xdr:colOff>
      <xdr:row>1</xdr:row>
      <xdr:rowOff>0</xdr:rowOff>
    </xdr:from>
    <xdr:to>
      <xdr:col>1</xdr:col>
      <xdr:colOff>9525</xdr:colOff>
      <xdr:row>3</xdr:row>
      <xdr:rowOff>0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71584606-8F73-6740-8C09-CC386BAE802A}"/>
            </a:ext>
          </a:extLst>
        </xdr:cNvPr>
        <xdr:cNvCxnSpPr/>
      </xdr:nvCxnSpPr>
      <xdr:spPr>
        <a:xfrm>
          <a:off x="0" y="381000"/>
          <a:ext cx="974725" cy="508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9525</xdr:colOff>
      <xdr:row>3</xdr:row>
      <xdr:rowOff>0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4CBA4B28-AA37-FB44-A3DF-EB54908CE3E8}"/>
            </a:ext>
          </a:extLst>
        </xdr:cNvPr>
        <xdr:cNvCxnSpPr/>
      </xdr:nvCxnSpPr>
      <xdr:spPr>
        <a:xfrm>
          <a:off x="0" y="381000"/>
          <a:ext cx="974725" cy="508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9525</xdr:colOff>
      <xdr:row>3</xdr:row>
      <xdr:rowOff>0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D7F6B2D5-051D-4443-9E8C-012FD99D9850}"/>
            </a:ext>
          </a:extLst>
        </xdr:cNvPr>
        <xdr:cNvCxnSpPr/>
      </xdr:nvCxnSpPr>
      <xdr:spPr>
        <a:xfrm>
          <a:off x="0" y="381000"/>
          <a:ext cx="974725" cy="508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114300</xdr:colOff>
          <xdr:row>0</xdr:row>
          <xdr:rowOff>25400</xdr:rowOff>
        </xdr:from>
        <xdr:to>
          <xdr:col>32</xdr:col>
          <xdr:colOff>520700</xdr:colOff>
          <xdr:row>1</xdr:row>
          <xdr:rowOff>0</xdr:rowOff>
        </xdr:to>
        <xdr:sp macro="" textlink="">
          <xdr:nvSpPr>
            <xdr:cNvPr id="4097" name="Spinner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D62BC765-5EBD-D846-BB9E-34B4735394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33</xdr:col>
          <xdr:colOff>177800</xdr:colOff>
          <xdr:row>0</xdr:row>
          <xdr:rowOff>12700</xdr:rowOff>
        </xdr:from>
        <xdr:to>
          <xdr:col>34</xdr:col>
          <xdr:colOff>12700</xdr:colOff>
          <xdr:row>1</xdr:row>
          <xdr:rowOff>12700</xdr:rowOff>
        </xdr:to>
        <xdr:sp macro="" textlink="">
          <xdr:nvSpPr>
            <xdr:cNvPr id="4098" name="Spinner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8F67D0AD-D411-C344-855A-8B2A5B7A9A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xdr:twoCellAnchor>
    <xdr:from>
      <xdr:col>0</xdr:col>
      <xdr:colOff>0</xdr:colOff>
      <xdr:row>1</xdr:row>
      <xdr:rowOff>0</xdr:rowOff>
    </xdr:from>
    <xdr:to>
      <xdr:col>1</xdr:col>
      <xdr:colOff>9525</xdr:colOff>
      <xdr:row>3</xdr:row>
      <xdr:rowOff>0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6A90D0D3-D4FB-7F42-ABE0-861318C5C128}"/>
            </a:ext>
          </a:extLst>
        </xdr:cNvPr>
        <xdr:cNvCxnSpPr/>
      </xdr:nvCxnSpPr>
      <xdr:spPr>
        <a:xfrm>
          <a:off x="0" y="381000"/>
          <a:ext cx="974725" cy="508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9525</xdr:colOff>
      <xdr:row>3</xdr:row>
      <xdr:rowOff>0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D3263D3F-6DA6-144F-8803-A66F4386FC85}"/>
            </a:ext>
          </a:extLst>
        </xdr:cNvPr>
        <xdr:cNvCxnSpPr/>
      </xdr:nvCxnSpPr>
      <xdr:spPr>
        <a:xfrm>
          <a:off x="0" y="381000"/>
          <a:ext cx="974725" cy="508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S34"/>
  <sheetViews>
    <sheetView zoomScale="190" zoomScaleNormal="190" zoomScaleSheetLayoutView="120" workbookViewId="0">
      <selection activeCell="R15" sqref="R15"/>
    </sheetView>
  </sheetViews>
  <sheetFormatPr baseColWidth="10" defaultColWidth="9" defaultRowHeight="15"/>
  <cols>
    <col min="1" max="1" width="12.6640625" style="1" bestFit="1" customWidth="1"/>
    <col min="2" max="32" width="5.1640625" style="2" customWidth="1"/>
    <col min="33" max="33" width="8" style="1" bestFit="1" customWidth="1"/>
    <col min="34" max="34" width="6.1640625" style="1" customWidth="1"/>
    <col min="35" max="35" width="7.1640625" style="1" customWidth="1"/>
    <col min="36" max="16384" width="9" style="1"/>
  </cols>
  <sheetData>
    <row r="1" spans="1:45" ht="30" customHeight="1">
      <c r="A1" s="38"/>
      <c r="B1" s="11"/>
      <c r="D1" s="54" t="s">
        <v>24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3"/>
      <c r="P1" s="54" t="s">
        <v>25</v>
      </c>
      <c r="Q1" s="54"/>
      <c r="R1" s="54"/>
      <c r="S1" s="54"/>
      <c r="T1" s="54"/>
      <c r="V1" s="53">
        <v>115</v>
      </c>
      <c r="W1" s="53"/>
      <c r="X1" s="53" t="s">
        <v>0</v>
      </c>
      <c r="Y1" s="53"/>
      <c r="Z1" s="53">
        <v>6</v>
      </c>
      <c r="AA1" s="53"/>
      <c r="AB1" s="53" t="s">
        <v>1</v>
      </c>
      <c r="AC1" s="53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ht="20" customHeight="1">
      <c r="A2" s="39" t="s">
        <v>2</v>
      </c>
      <c r="B2" s="15">
        <f t="shared" ref="B2:AF2" si="0">IF(MONTH(DATE($V$1+1911,$Z$1,COLUMN(A:A)))=$Z$1,DAY(DATE($V$1+1911,$Z$1,COLUMN(A:A))),"")</f>
        <v>1</v>
      </c>
      <c r="C2" s="15">
        <f t="shared" si="0"/>
        <v>2</v>
      </c>
      <c r="D2" s="15">
        <f t="shared" si="0"/>
        <v>3</v>
      </c>
      <c r="E2" s="15">
        <f t="shared" si="0"/>
        <v>4</v>
      </c>
      <c r="F2" s="15">
        <f t="shared" si="0"/>
        <v>5</v>
      </c>
      <c r="G2" s="15">
        <f t="shared" si="0"/>
        <v>6</v>
      </c>
      <c r="H2" s="15">
        <f t="shared" si="0"/>
        <v>7</v>
      </c>
      <c r="I2" s="15">
        <f t="shared" si="0"/>
        <v>8</v>
      </c>
      <c r="J2" s="15">
        <f t="shared" si="0"/>
        <v>9</v>
      </c>
      <c r="K2" s="15">
        <f t="shared" si="0"/>
        <v>10</v>
      </c>
      <c r="L2" s="15">
        <f t="shared" si="0"/>
        <v>11</v>
      </c>
      <c r="M2" s="15">
        <f t="shared" si="0"/>
        <v>12</v>
      </c>
      <c r="N2" s="15">
        <f t="shared" si="0"/>
        <v>13</v>
      </c>
      <c r="O2" s="15">
        <f t="shared" si="0"/>
        <v>14</v>
      </c>
      <c r="P2" s="15">
        <f t="shared" si="0"/>
        <v>15</v>
      </c>
      <c r="Q2" s="15">
        <f t="shared" si="0"/>
        <v>16</v>
      </c>
      <c r="R2" s="15">
        <f t="shared" si="0"/>
        <v>17</v>
      </c>
      <c r="S2" s="15">
        <f t="shared" si="0"/>
        <v>18</v>
      </c>
      <c r="T2" s="46">
        <f t="shared" si="0"/>
        <v>19</v>
      </c>
      <c r="U2" s="17">
        <f t="shared" si="0"/>
        <v>20</v>
      </c>
      <c r="V2" s="15">
        <f t="shared" si="0"/>
        <v>21</v>
      </c>
      <c r="W2" s="15">
        <f t="shared" si="0"/>
        <v>22</v>
      </c>
      <c r="X2" s="15">
        <f t="shared" si="0"/>
        <v>23</v>
      </c>
      <c r="Y2" s="15">
        <f t="shared" si="0"/>
        <v>24</v>
      </c>
      <c r="Z2" s="15">
        <f t="shared" si="0"/>
        <v>25</v>
      </c>
      <c r="AA2" s="15">
        <f t="shared" si="0"/>
        <v>26</v>
      </c>
      <c r="AB2" s="17">
        <f t="shared" si="0"/>
        <v>27</v>
      </c>
      <c r="AC2" s="15">
        <f t="shared" si="0"/>
        <v>28</v>
      </c>
      <c r="AD2" s="15">
        <f t="shared" si="0"/>
        <v>29</v>
      </c>
      <c r="AE2" s="15">
        <f t="shared" si="0"/>
        <v>30</v>
      </c>
      <c r="AF2" s="15" t="str">
        <f t="shared" si="0"/>
        <v/>
      </c>
      <c r="AG2" s="5" t="s">
        <v>51</v>
      </c>
    </row>
    <row r="3" spans="1:45" ht="20" customHeight="1">
      <c r="A3" s="40" t="s">
        <v>3</v>
      </c>
      <c r="B3" s="16" t="str">
        <f t="shared" ref="B3:AF3" si="1">IF(B2&lt;&gt;"",RIGHT(TEXT(DATE($V$1+1911,$Z$1,COLUMN(A:A)),"aaa"),1),"")</f>
        <v>一</v>
      </c>
      <c r="C3" s="16" t="str">
        <f t="shared" si="1"/>
        <v>二</v>
      </c>
      <c r="D3" s="16" t="str">
        <f t="shared" si="1"/>
        <v>三</v>
      </c>
      <c r="E3" s="16" t="str">
        <f t="shared" si="1"/>
        <v>四</v>
      </c>
      <c r="F3" s="16" t="str">
        <f t="shared" si="1"/>
        <v>五</v>
      </c>
      <c r="G3" s="16" t="str">
        <f t="shared" si="1"/>
        <v>六</v>
      </c>
      <c r="H3" s="16" t="str">
        <f t="shared" si="1"/>
        <v>日</v>
      </c>
      <c r="I3" s="16" t="str">
        <f t="shared" si="1"/>
        <v>一</v>
      </c>
      <c r="J3" s="16" t="str">
        <f t="shared" si="1"/>
        <v>二</v>
      </c>
      <c r="K3" s="16" t="str">
        <f t="shared" si="1"/>
        <v>三</v>
      </c>
      <c r="L3" s="16" t="str">
        <f t="shared" si="1"/>
        <v>四</v>
      </c>
      <c r="M3" s="16" t="str">
        <f t="shared" si="1"/>
        <v>五</v>
      </c>
      <c r="N3" s="16" t="str">
        <f t="shared" si="1"/>
        <v>六</v>
      </c>
      <c r="O3" s="16" t="str">
        <f t="shared" si="1"/>
        <v>日</v>
      </c>
      <c r="P3" s="16" t="str">
        <f t="shared" si="1"/>
        <v>一</v>
      </c>
      <c r="Q3" s="16" t="str">
        <f t="shared" si="1"/>
        <v>二</v>
      </c>
      <c r="R3" s="16" t="str">
        <f t="shared" si="1"/>
        <v>三</v>
      </c>
      <c r="S3" s="16" t="str">
        <f t="shared" si="1"/>
        <v>四</v>
      </c>
      <c r="T3" s="47" t="str">
        <f t="shared" si="1"/>
        <v>五</v>
      </c>
      <c r="U3" s="18" t="str">
        <f t="shared" si="1"/>
        <v>六</v>
      </c>
      <c r="V3" s="16" t="str">
        <f t="shared" si="1"/>
        <v>日</v>
      </c>
      <c r="W3" s="16" t="str">
        <f t="shared" si="1"/>
        <v>一</v>
      </c>
      <c r="X3" s="16" t="str">
        <f t="shared" si="1"/>
        <v>二</v>
      </c>
      <c r="Y3" s="16" t="str">
        <f t="shared" si="1"/>
        <v>三</v>
      </c>
      <c r="Z3" s="16" t="str">
        <f t="shared" si="1"/>
        <v>四</v>
      </c>
      <c r="AA3" s="16" t="str">
        <f t="shared" si="1"/>
        <v>五</v>
      </c>
      <c r="AB3" s="18" t="str">
        <f t="shared" si="1"/>
        <v>六</v>
      </c>
      <c r="AC3" s="16" t="str">
        <f t="shared" si="1"/>
        <v>日</v>
      </c>
      <c r="AD3" s="16" t="str">
        <f t="shared" si="1"/>
        <v>一</v>
      </c>
      <c r="AE3" s="20" t="str">
        <f t="shared" si="1"/>
        <v>二</v>
      </c>
      <c r="AF3" s="20" t="str">
        <f t="shared" si="1"/>
        <v/>
      </c>
      <c r="AG3" s="5" t="s">
        <v>48</v>
      </c>
    </row>
    <row r="4" spans="1:45" ht="30" customHeight="1">
      <c r="A4" s="41" t="s">
        <v>4</v>
      </c>
      <c r="B4" s="35" t="s">
        <v>60</v>
      </c>
      <c r="C4" s="35" t="s">
        <v>56</v>
      </c>
      <c r="D4" s="35" t="s">
        <v>56</v>
      </c>
      <c r="E4" s="51" t="s">
        <v>58</v>
      </c>
      <c r="F4" s="35" t="s">
        <v>59</v>
      </c>
      <c r="G4" s="35" t="s">
        <v>56</v>
      </c>
      <c r="H4" s="35" t="s">
        <v>58</v>
      </c>
      <c r="I4" s="35" t="s">
        <v>60</v>
      </c>
      <c r="J4" s="51" t="s">
        <v>60</v>
      </c>
      <c r="K4" s="35" t="s">
        <v>61</v>
      </c>
      <c r="L4" s="35" t="s">
        <v>59</v>
      </c>
      <c r="M4" s="35" t="s">
        <v>56</v>
      </c>
      <c r="N4" s="48" t="s">
        <v>58</v>
      </c>
      <c r="O4" s="35" t="s">
        <v>58</v>
      </c>
      <c r="P4" s="35" t="s">
        <v>59</v>
      </c>
      <c r="Q4" s="51" t="s">
        <v>58</v>
      </c>
      <c r="R4" s="35" t="s">
        <v>59</v>
      </c>
      <c r="S4" s="35" t="s">
        <v>56</v>
      </c>
      <c r="T4" s="35" t="s">
        <v>58</v>
      </c>
      <c r="U4" s="35" t="s">
        <v>59</v>
      </c>
      <c r="V4" s="35" t="s">
        <v>5</v>
      </c>
      <c r="W4" s="35" t="s">
        <v>56</v>
      </c>
      <c r="X4" s="35" t="s">
        <v>56</v>
      </c>
      <c r="Y4" s="35" t="s">
        <v>58</v>
      </c>
      <c r="Z4" s="35" t="s">
        <v>56</v>
      </c>
      <c r="AA4" s="51" t="s">
        <v>58</v>
      </c>
      <c r="AB4" s="35" t="s">
        <v>59</v>
      </c>
      <c r="AC4" s="35" t="s">
        <v>5</v>
      </c>
      <c r="AD4" s="35" t="s">
        <v>56</v>
      </c>
      <c r="AE4" s="35" t="s">
        <v>58</v>
      </c>
      <c r="AF4" s="35"/>
      <c r="AG4" s="5">
        <f t="shared" ref="AG4:AG10" si="2">SUM(B28:AF28)</f>
        <v>151</v>
      </c>
    </row>
    <row r="5" spans="1:45" ht="30" customHeight="1">
      <c r="A5" s="41" t="s">
        <v>6</v>
      </c>
      <c r="B5" s="35" t="s">
        <v>56</v>
      </c>
      <c r="C5" s="35" t="s">
        <v>58</v>
      </c>
      <c r="D5" s="35" t="s">
        <v>59</v>
      </c>
      <c r="E5" s="51" t="s">
        <v>59</v>
      </c>
      <c r="F5" s="35" t="s">
        <v>56</v>
      </c>
      <c r="G5" s="35" t="s">
        <v>58</v>
      </c>
      <c r="H5" s="35" t="s">
        <v>5</v>
      </c>
      <c r="I5" s="35" t="s">
        <v>56</v>
      </c>
      <c r="J5" s="51" t="s">
        <v>58</v>
      </c>
      <c r="K5" s="35" t="s">
        <v>59</v>
      </c>
      <c r="L5" s="35" t="s">
        <v>60</v>
      </c>
      <c r="M5" s="35" t="s">
        <v>58</v>
      </c>
      <c r="N5" s="35" t="s">
        <v>56</v>
      </c>
      <c r="O5" s="35" t="s">
        <v>58</v>
      </c>
      <c r="P5" s="35" t="s">
        <v>56</v>
      </c>
      <c r="Q5" s="51" t="s">
        <v>58</v>
      </c>
      <c r="R5" s="35" t="s">
        <v>58</v>
      </c>
      <c r="S5" s="35" t="s">
        <v>59</v>
      </c>
      <c r="T5" s="35" t="s">
        <v>59</v>
      </c>
      <c r="U5" s="35" t="s">
        <v>58</v>
      </c>
      <c r="V5" s="35" t="s">
        <v>58</v>
      </c>
      <c r="W5" s="35" t="s">
        <v>60</v>
      </c>
      <c r="X5" s="35" t="s">
        <v>59</v>
      </c>
      <c r="Y5" s="35" t="s">
        <v>56</v>
      </c>
      <c r="Z5" s="48" t="s">
        <v>58</v>
      </c>
      <c r="AA5" s="51" t="s">
        <v>59</v>
      </c>
      <c r="AB5" s="35" t="s">
        <v>56</v>
      </c>
      <c r="AC5" s="35" t="s">
        <v>58</v>
      </c>
      <c r="AD5" s="35" t="s">
        <v>61</v>
      </c>
      <c r="AE5" s="35" t="s">
        <v>56</v>
      </c>
      <c r="AF5" s="35"/>
      <c r="AG5" s="5">
        <f t="shared" si="2"/>
        <v>136</v>
      </c>
    </row>
    <row r="6" spans="1:45" ht="30" customHeight="1">
      <c r="A6" s="42" t="s">
        <v>43</v>
      </c>
      <c r="B6" s="35" t="s">
        <v>61</v>
      </c>
      <c r="C6" s="35" t="s">
        <v>59</v>
      </c>
      <c r="D6" s="35" t="s">
        <v>58</v>
      </c>
      <c r="E6" s="51" t="s">
        <v>58</v>
      </c>
      <c r="F6" s="35" t="s">
        <v>61</v>
      </c>
      <c r="G6" s="35" t="s">
        <v>59</v>
      </c>
      <c r="H6" s="35" t="s">
        <v>58</v>
      </c>
      <c r="I6" s="35" t="s">
        <v>59</v>
      </c>
      <c r="J6" s="51" t="s">
        <v>59</v>
      </c>
      <c r="K6" s="35" t="s">
        <v>56</v>
      </c>
      <c r="L6" s="35" t="s">
        <v>58</v>
      </c>
      <c r="M6" s="35" t="s">
        <v>59</v>
      </c>
      <c r="N6" s="35" t="s">
        <v>59</v>
      </c>
      <c r="O6" s="35" t="s">
        <v>5</v>
      </c>
      <c r="P6" s="48" t="s">
        <v>58</v>
      </c>
      <c r="Q6" s="51" t="s">
        <v>59</v>
      </c>
      <c r="R6" s="35" t="s">
        <v>56</v>
      </c>
      <c r="S6" s="35" t="s">
        <v>58</v>
      </c>
      <c r="T6" s="35" t="s">
        <v>56</v>
      </c>
      <c r="U6" s="35" t="s">
        <v>56</v>
      </c>
      <c r="V6" s="35" t="s">
        <v>58</v>
      </c>
      <c r="W6" s="35" t="s">
        <v>59</v>
      </c>
      <c r="X6" s="35" t="s">
        <v>58</v>
      </c>
      <c r="Y6" s="35" t="s">
        <v>59</v>
      </c>
      <c r="Z6" s="35" t="s">
        <v>59</v>
      </c>
      <c r="AA6" s="51" t="s">
        <v>59</v>
      </c>
      <c r="AB6" s="35" t="s">
        <v>58</v>
      </c>
      <c r="AC6" s="35" t="s">
        <v>58</v>
      </c>
      <c r="AD6" s="35" t="s">
        <v>60</v>
      </c>
      <c r="AE6" s="35" t="s">
        <v>59</v>
      </c>
      <c r="AF6" s="35"/>
      <c r="AG6" s="5">
        <f t="shared" si="2"/>
        <v>157</v>
      </c>
      <c r="AH6" s="1">
        <f>AG6-152</f>
        <v>5</v>
      </c>
    </row>
    <row r="7" spans="1:45" ht="30" customHeight="1" thickBot="1">
      <c r="A7" s="43" t="s">
        <v>7</v>
      </c>
      <c r="B7" s="35"/>
      <c r="C7" s="35"/>
      <c r="D7" s="35"/>
      <c r="E7" s="51" t="s">
        <v>56</v>
      </c>
      <c r="F7" s="35"/>
      <c r="G7" s="35"/>
      <c r="H7" s="35"/>
      <c r="I7" s="35"/>
      <c r="J7" s="51" t="s">
        <v>56</v>
      </c>
      <c r="K7" s="35"/>
      <c r="L7" s="35"/>
      <c r="M7" s="35"/>
      <c r="N7" s="35"/>
      <c r="O7" s="35"/>
      <c r="P7" s="35"/>
      <c r="Q7" s="51" t="s">
        <v>56</v>
      </c>
      <c r="R7" s="35"/>
      <c r="S7" s="35"/>
      <c r="T7" s="35"/>
      <c r="U7" s="35"/>
      <c r="V7" s="35"/>
      <c r="W7" s="35"/>
      <c r="X7" s="35"/>
      <c r="Y7" s="35"/>
      <c r="Z7" s="35"/>
      <c r="AA7" s="51" t="s">
        <v>56</v>
      </c>
      <c r="AB7" s="35"/>
      <c r="AC7" s="35"/>
      <c r="AD7" s="35"/>
      <c r="AE7" s="35"/>
      <c r="AF7" s="35"/>
      <c r="AG7" s="10">
        <f t="shared" si="2"/>
        <v>20</v>
      </c>
    </row>
    <row r="8" spans="1:45" ht="30" customHeight="1" thickTop="1">
      <c r="A8" s="44" t="s">
        <v>39</v>
      </c>
      <c r="B8" s="36" t="s">
        <v>57</v>
      </c>
      <c r="C8" s="36" t="s">
        <v>62</v>
      </c>
      <c r="D8" s="36" t="s">
        <v>62</v>
      </c>
      <c r="E8" s="36" t="s">
        <v>64</v>
      </c>
      <c r="F8" s="49" t="s">
        <v>57</v>
      </c>
      <c r="G8" s="49" t="s">
        <v>57</v>
      </c>
      <c r="H8" s="49" t="s">
        <v>57</v>
      </c>
      <c r="I8" s="49" t="s">
        <v>57</v>
      </c>
      <c r="J8" s="49" t="s">
        <v>57</v>
      </c>
      <c r="K8" s="49" t="s">
        <v>57</v>
      </c>
      <c r="L8" s="49" t="s">
        <v>57</v>
      </c>
      <c r="M8" s="49" t="s">
        <v>57</v>
      </c>
      <c r="N8" s="36" t="s">
        <v>57</v>
      </c>
      <c r="O8" s="36" t="s">
        <v>57</v>
      </c>
      <c r="P8" s="49" t="s">
        <v>40</v>
      </c>
      <c r="Q8" s="36" t="s">
        <v>62</v>
      </c>
      <c r="R8" s="36" t="s">
        <v>62</v>
      </c>
      <c r="S8" s="36" t="s">
        <v>62</v>
      </c>
      <c r="T8" s="36" t="s">
        <v>63</v>
      </c>
      <c r="U8" s="36" t="s">
        <v>57</v>
      </c>
      <c r="V8" s="36" t="s">
        <v>57</v>
      </c>
      <c r="W8" s="36" t="s">
        <v>57</v>
      </c>
      <c r="X8" s="36" t="s">
        <v>63</v>
      </c>
      <c r="Y8" s="36" t="s">
        <v>62</v>
      </c>
      <c r="Z8" s="36" t="s">
        <v>63</v>
      </c>
      <c r="AA8" s="49" t="s">
        <v>57</v>
      </c>
      <c r="AB8" s="49" t="s">
        <v>57</v>
      </c>
      <c r="AC8" s="49" t="s">
        <v>57</v>
      </c>
      <c r="AD8" s="49" t="s">
        <v>57</v>
      </c>
      <c r="AE8" s="49" t="s">
        <v>57</v>
      </c>
      <c r="AF8" s="36"/>
      <c r="AG8" s="14">
        <f t="shared" si="2"/>
        <v>75.5</v>
      </c>
    </row>
    <row r="9" spans="1:45" ht="30" customHeight="1">
      <c r="A9" s="19" t="s">
        <v>36</v>
      </c>
      <c r="B9" s="37" t="s">
        <v>41</v>
      </c>
      <c r="C9" s="50" t="s">
        <v>57</v>
      </c>
      <c r="D9" s="50" t="s">
        <v>57</v>
      </c>
      <c r="E9" s="52" t="s">
        <v>65</v>
      </c>
      <c r="F9" s="37" t="s">
        <v>41</v>
      </c>
      <c r="G9" s="52" t="s">
        <v>40</v>
      </c>
      <c r="H9" s="37" t="s">
        <v>57</v>
      </c>
      <c r="I9" s="50" t="s">
        <v>57</v>
      </c>
      <c r="J9" s="50" t="s">
        <v>45</v>
      </c>
      <c r="K9" s="37" t="s">
        <v>41</v>
      </c>
      <c r="L9" s="50" t="s">
        <v>57</v>
      </c>
      <c r="M9" s="37" t="s">
        <v>62</v>
      </c>
      <c r="N9" s="37" t="s">
        <v>57</v>
      </c>
      <c r="O9" s="37" t="s">
        <v>57</v>
      </c>
      <c r="P9" s="37" t="s">
        <v>41</v>
      </c>
      <c r="Q9" s="50" t="s">
        <v>45</v>
      </c>
      <c r="R9" s="50" t="s">
        <v>57</v>
      </c>
      <c r="S9" s="37" t="s">
        <v>45</v>
      </c>
      <c r="T9" s="50" t="s">
        <v>66</v>
      </c>
      <c r="U9" s="50" t="s">
        <v>57</v>
      </c>
      <c r="V9" s="37" t="s">
        <v>57</v>
      </c>
      <c r="W9" s="37" t="s">
        <v>45</v>
      </c>
      <c r="X9" s="37" t="s">
        <v>41</v>
      </c>
      <c r="Y9" s="50" t="s">
        <v>57</v>
      </c>
      <c r="Z9" s="37" t="s">
        <v>41</v>
      </c>
      <c r="AA9" s="50" t="s">
        <v>45</v>
      </c>
      <c r="AB9" s="50" t="s">
        <v>57</v>
      </c>
      <c r="AC9" s="37" t="s">
        <v>57</v>
      </c>
      <c r="AD9" s="37" t="s">
        <v>41</v>
      </c>
      <c r="AE9" s="37" t="s">
        <v>62</v>
      </c>
      <c r="AF9" s="37"/>
      <c r="AG9" s="5">
        <f t="shared" si="2"/>
        <v>78.5</v>
      </c>
    </row>
    <row r="10" spans="1:45" ht="30" customHeight="1">
      <c r="A10" s="19" t="s">
        <v>49</v>
      </c>
      <c r="B10" s="37" t="s">
        <v>45</v>
      </c>
      <c r="C10" s="37" t="s">
        <v>45</v>
      </c>
      <c r="D10" s="37" t="s">
        <v>45</v>
      </c>
      <c r="E10" s="37" t="s">
        <v>57</v>
      </c>
      <c r="F10" s="37" t="s">
        <v>45</v>
      </c>
      <c r="G10" s="50" t="s">
        <v>57</v>
      </c>
      <c r="H10" s="37" t="s">
        <v>57</v>
      </c>
      <c r="I10" s="37" t="s">
        <v>45</v>
      </c>
      <c r="J10" s="50" t="s">
        <v>57</v>
      </c>
      <c r="K10" s="37" t="s">
        <v>45</v>
      </c>
      <c r="L10" s="50" t="s">
        <v>57</v>
      </c>
      <c r="M10" s="37" t="s">
        <v>45</v>
      </c>
      <c r="N10" s="50" t="s">
        <v>40</v>
      </c>
      <c r="O10" s="37" t="s">
        <v>57</v>
      </c>
      <c r="P10" s="37" t="s">
        <v>45</v>
      </c>
      <c r="Q10" s="37" t="s">
        <v>57</v>
      </c>
      <c r="R10" s="37" t="s">
        <v>45</v>
      </c>
      <c r="S10" s="50" t="s">
        <v>57</v>
      </c>
      <c r="T10" s="50" t="s">
        <v>57</v>
      </c>
      <c r="U10" s="50" t="s">
        <v>57</v>
      </c>
      <c r="V10" s="50" t="s">
        <v>57</v>
      </c>
      <c r="W10" s="50" t="s">
        <v>57</v>
      </c>
      <c r="X10" s="37" t="s">
        <v>45</v>
      </c>
      <c r="Y10" s="37" t="s">
        <v>45</v>
      </c>
      <c r="Z10" s="37" t="s">
        <v>45</v>
      </c>
      <c r="AA10" s="37" t="s">
        <v>57</v>
      </c>
      <c r="AB10" s="50" t="s">
        <v>40</v>
      </c>
      <c r="AC10" s="37" t="s">
        <v>57</v>
      </c>
      <c r="AD10" s="37" t="s">
        <v>45</v>
      </c>
      <c r="AE10" s="37" t="s">
        <v>45</v>
      </c>
      <c r="AF10" s="37"/>
      <c r="AG10" s="5">
        <f t="shared" si="2"/>
        <v>65</v>
      </c>
    </row>
    <row r="11" spans="1:45" ht="30" customHeight="1">
      <c r="A11" s="19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5"/>
    </row>
    <row r="12" spans="1:45" ht="17" thickBot="1">
      <c r="A12" s="6"/>
      <c r="B12" s="12"/>
      <c r="C12" s="12"/>
      <c r="D12" s="12"/>
      <c r="E12" s="12" t="s">
        <v>4</v>
      </c>
      <c r="F12" s="12" t="s">
        <v>6</v>
      </c>
      <c r="G12" s="22" t="s">
        <v>43</v>
      </c>
      <c r="H12" s="12" t="s">
        <v>7</v>
      </c>
      <c r="I12" s="12"/>
      <c r="J12" s="12"/>
      <c r="K12" s="12"/>
      <c r="L12" s="12"/>
      <c r="M12" s="12"/>
      <c r="N12" s="12"/>
      <c r="O12" s="12"/>
      <c r="P12" s="12"/>
      <c r="Q12" s="3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6">
        <f>SUM(AG4:AG10)</f>
        <v>683</v>
      </c>
    </row>
    <row r="13" spans="1:45" ht="18" thickTop="1" thickBot="1">
      <c r="A13" s="6" t="s">
        <v>8</v>
      </c>
      <c r="B13" s="21" t="s">
        <v>9</v>
      </c>
      <c r="C13" s="21">
        <v>9</v>
      </c>
      <c r="D13" s="12"/>
      <c r="E13" s="12">
        <f t="array" ref="E13">SUMPRODUCT(IF($B$4:$AF$4=$A13,1,0))</f>
        <v>6</v>
      </c>
      <c r="F13" s="12">
        <f t="array" ref="F13">SUMPRODUCT(IF($B$5:$AF$5=$A13,1,0))</f>
        <v>7</v>
      </c>
      <c r="G13" s="12">
        <f t="array" ref="G13">SUMPRODUCT(IF($B$6:$AF$6=$A13,1,0))</f>
        <v>12</v>
      </c>
      <c r="H13" s="12">
        <f t="array" ref="H13">SUMPRODUCT(IF($B$7:$AF$7=$A13,1,0))</f>
        <v>0</v>
      </c>
      <c r="I13" s="12">
        <f t="array" ref="I13">SUMPRODUCT(IF($B$9:$AF$9=$A13,1,0))</f>
        <v>0</v>
      </c>
      <c r="J13" s="12"/>
      <c r="K13" s="23" t="s">
        <v>40</v>
      </c>
      <c r="L13" s="24">
        <v>0.35416666666666669</v>
      </c>
      <c r="M13" s="25" t="s">
        <v>44</v>
      </c>
      <c r="N13" s="26">
        <v>0.54166666666666663</v>
      </c>
      <c r="O13" s="12"/>
      <c r="P13" s="12"/>
      <c r="Q13" s="32"/>
      <c r="R13" s="12"/>
      <c r="S13" s="12"/>
      <c r="T13" s="12"/>
      <c r="U13" s="12"/>
      <c r="V13" s="12"/>
      <c r="W13" s="12"/>
      <c r="X13" s="12"/>
      <c r="Y13" s="13"/>
      <c r="Z13" s="13"/>
      <c r="AA13" s="13"/>
      <c r="AB13" s="13"/>
      <c r="AC13" s="13"/>
      <c r="AD13" s="13"/>
      <c r="AE13" s="13"/>
      <c r="AF13" s="13"/>
    </row>
    <row r="14" spans="1:45" ht="17" thickBot="1">
      <c r="A14" s="6" t="s">
        <v>10</v>
      </c>
      <c r="B14" s="21" t="s">
        <v>11</v>
      </c>
      <c r="C14" s="21">
        <v>5</v>
      </c>
      <c r="D14" s="12"/>
      <c r="E14" s="12">
        <f t="array" ref="E14">SUMPRODUCT(IF($B$4:$AF$4=$A14,1,0))</f>
        <v>1</v>
      </c>
      <c r="F14" s="12">
        <f t="array" ref="F14">SUMPRODUCT(IF($B$5:$AF$5=$A14,1,0))</f>
        <v>1</v>
      </c>
      <c r="G14" s="12">
        <f t="array" ref="G14">SUMPRODUCT(IF($B$6:$AF$6=$A14,1,0))</f>
        <v>2</v>
      </c>
      <c r="H14" s="12">
        <f t="array" ref="H14">SUMPRODUCT(IF($B$7:$AF$7=$A14,1,0))</f>
        <v>0</v>
      </c>
      <c r="I14" s="12">
        <f t="array" ref="I14">SUMPRODUCT(IF($B$9:$AF$9=$A14,1,0))</f>
        <v>0</v>
      </c>
      <c r="J14" s="12"/>
      <c r="K14" s="27" t="s">
        <v>41</v>
      </c>
      <c r="L14" s="28">
        <v>0.54166666666666663</v>
      </c>
      <c r="M14" s="29" t="s">
        <v>44</v>
      </c>
      <c r="N14" s="30">
        <v>0.70833333333333337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3"/>
      <c r="Z14" s="13"/>
      <c r="AA14" s="13"/>
      <c r="AB14" s="13"/>
      <c r="AC14" s="13"/>
      <c r="AD14" s="13"/>
      <c r="AE14" s="13"/>
      <c r="AF14" s="13"/>
    </row>
    <row r="15" spans="1:45" ht="17" thickBot="1">
      <c r="A15" s="6" t="s">
        <v>34</v>
      </c>
      <c r="B15" s="21" t="s">
        <v>35</v>
      </c>
      <c r="C15" s="21">
        <v>9</v>
      </c>
      <c r="D15" s="12"/>
      <c r="E15" s="12">
        <f t="array" ref="E15">SUMPRODUCT(IF($B$4:$AF$4=$A15,1,0))</f>
        <v>3</v>
      </c>
      <c r="F15" s="12">
        <f t="array" ref="F15">SUMPRODUCT(IF($B$5:$AF$5=$A15,1,0))</f>
        <v>2</v>
      </c>
      <c r="G15" s="12">
        <f t="array" ref="G15">SUMPRODUCT(IF($B$6:$AF$6=$A15,1,0))</f>
        <v>1</v>
      </c>
      <c r="H15" s="12">
        <f t="array" ref="H15">SUMPRODUCT(IF($B$7:$AF$7=$A15,1,0))</f>
        <v>0</v>
      </c>
      <c r="I15" s="12">
        <f t="array" ref="I15">SUMPRODUCT(IF($B$9:$AF$9=$A15,1,0))</f>
        <v>0</v>
      </c>
      <c r="J15" s="12"/>
      <c r="K15" s="27" t="s">
        <v>45</v>
      </c>
      <c r="L15" s="28">
        <v>0.70833333333333337</v>
      </c>
      <c r="M15" s="29" t="s">
        <v>44</v>
      </c>
      <c r="N15" s="30">
        <v>0.875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3"/>
      <c r="Z15" s="13"/>
      <c r="AA15" s="13"/>
      <c r="AB15" s="13"/>
      <c r="AC15" s="13"/>
      <c r="AD15" s="13"/>
      <c r="AE15" s="13"/>
      <c r="AF15" s="13"/>
    </row>
    <row r="16" spans="1:45" ht="16">
      <c r="A16" s="6" t="s">
        <v>12</v>
      </c>
      <c r="B16" s="21" t="s">
        <v>13</v>
      </c>
      <c r="C16" s="21">
        <v>8</v>
      </c>
      <c r="D16" s="12"/>
      <c r="E16" s="12">
        <f t="array" ref="E16">SUMPRODUCT(IF($B$4:$AF$4=$A16,1,0))</f>
        <v>0</v>
      </c>
      <c r="F16" s="12">
        <f t="array" ref="F16">SUMPRODUCT(IF($B$5:$AF$5=$A16,1,0))</f>
        <v>0</v>
      </c>
      <c r="G16" s="12">
        <f t="array" ref="G16">SUMPRODUCT(IF($B$6:$AF$6=$A16,1,0))</f>
        <v>0</v>
      </c>
      <c r="H16" s="12">
        <f t="array" ref="H16">SUMPRODUCT(IF($B$7:$AF$7=$A16,1,0))</f>
        <v>0</v>
      </c>
      <c r="I16" s="12">
        <f t="array" ref="I16">SUMPRODUCT(IF($B$9:$AF$9=$A16,1,0))</f>
        <v>0</v>
      </c>
      <c r="J16" s="12"/>
      <c r="K16" s="31" t="s">
        <v>37</v>
      </c>
      <c r="L16" s="12"/>
      <c r="M16" s="12" t="s">
        <v>38</v>
      </c>
      <c r="N16" s="12"/>
      <c r="O16" s="12"/>
      <c r="P16" s="12"/>
      <c r="Q16" s="12"/>
      <c r="R16" s="12"/>
      <c r="S16" s="12"/>
      <c r="T16" s="32"/>
      <c r="U16" s="12"/>
      <c r="V16" s="12"/>
      <c r="W16" s="12"/>
      <c r="X16" s="12"/>
      <c r="Y16" s="13"/>
      <c r="Z16" s="13"/>
      <c r="AA16" s="13"/>
      <c r="AB16" s="13"/>
      <c r="AC16" s="13"/>
      <c r="AD16" s="13"/>
      <c r="AE16" s="13"/>
      <c r="AF16" s="13"/>
    </row>
    <row r="17" spans="1:33" ht="17">
      <c r="A17" s="6" t="s">
        <v>32</v>
      </c>
      <c r="B17" s="21" t="s">
        <v>33</v>
      </c>
      <c r="C17" s="21">
        <v>7</v>
      </c>
      <c r="D17" s="12"/>
      <c r="E17" s="12">
        <f t="array" ref="E17">SUMPRODUCT(IF($B$4:$AF$4=$A17,1,0))</f>
        <v>0</v>
      </c>
      <c r="F17" s="12">
        <f t="array" ref="F17">SUMPRODUCT(IF($B$5:$AF$5=$A17,1,0))</f>
        <v>0</v>
      </c>
      <c r="G17" s="12">
        <f t="array" ref="G17">SUMPRODUCT(IF($B$6:$AF$6=$A17,1,0))</f>
        <v>0</v>
      </c>
      <c r="H17" s="12">
        <f t="array" ref="H17">SUMPRODUCT(IF($B$7:$AF$7=$A17,1,0))</f>
        <v>0</v>
      </c>
      <c r="I17" s="12">
        <f t="array" ref="I17">SUMPRODUCT(IF($B$9:$AF$9=$A17,1,0))</f>
        <v>0</v>
      </c>
      <c r="J17" s="12"/>
      <c r="K17" s="12"/>
      <c r="L17" s="12"/>
      <c r="M17" s="12"/>
      <c r="N17" s="33" t="s">
        <v>42</v>
      </c>
      <c r="O17" s="34"/>
      <c r="P17" s="12"/>
      <c r="Q17" s="12"/>
      <c r="R17" s="12"/>
      <c r="S17" s="12"/>
      <c r="T17" s="12"/>
      <c r="U17" s="12"/>
      <c r="V17" s="12"/>
      <c r="W17" s="12"/>
      <c r="X17" s="12"/>
      <c r="Y17" s="13"/>
      <c r="Z17" s="13"/>
      <c r="AA17" s="13"/>
      <c r="AB17" s="13"/>
      <c r="AC17" s="13"/>
      <c r="AD17" s="13"/>
      <c r="AE17" s="13"/>
      <c r="AF17" s="13"/>
    </row>
    <row r="18" spans="1:33">
      <c r="A18" s="6" t="s">
        <v>19</v>
      </c>
      <c r="B18" s="6" t="s">
        <v>20</v>
      </c>
      <c r="C18" s="6">
        <v>8</v>
      </c>
      <c r="D18" s="7"/>
      <c r="E18" s="7">
        <f t="array" ref="E18">SUMPRODUCT(IF($B$4:$AF$4=$A18,1,0))</f>
        <v>0</v>
      </c>
      <c r="F18" s="7">
        <f t="array" ref="F18">SUMPRODUCT(IF($B$5:$AF$5=$A18,1,0))</f>
        <v>0</v>
      </c>
      <c r="G18" s="7">
        <f t="array" ref="G18">SUMPRODUCT(IF($B$6:$AF$6=$A18,1,0))</f>
        <v>0</v>
      </c>
      <c r="H18" s="7">
        <f t="array" ref="H18">SUMPRODUCT(IF($B$7:$AF$7=$A18,1,0))</f>
        <v>0</v>
      </c>
      <c r="I18" s="7">
        <f t="array" ref="I18">SUMPRODUCT(IF($B$9:$AF$9=$A18,1,0))</f>
        <v>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1"/>
      <c r="Z18" s="1"/>
      <c r="AA18" s="1"/>
      <c r="AB18" s="1"/>
      <c r="AC18" s="1"/>
      <c r="AD18" s="1"/>
      <c r="AE18" s="1"/>
      <c r="AF18" s="1"/>
    </row>
    <row r="19" spans="1:33">
      <c r="A19" s="6" t="s">
        <v>14</v>
      </c>
      <c r="B19" s="6" t="s">
        <v>15</v>
      </c>
      <c r="C19" s="6">
        <v>5</v>
      </c>
      <c r="D19" s="7"/>
      <c r="E19" s="7">
        <f t="array" ref="E19">SUMPRODUCT(IF($B$4:$AF$4=$A19,1,0))</f>
        <v>9</v>
      </c>
      <c r="F19" s="7">
        <f t="array" ref="F19">SUMPRODUCT(IF($B$5:$AF$5=$A19,1,0))</f>
        <v>8</v>
      </c>
      <c r="G19" s="7">
        <f t="array" ref="G19">SUMPRODUCT(IF($B$6:$AF$6=$A19,1,0))</f>
        <v>4</v>
      </c>
      <c r="H19" s="7">
        <f t="array" ref="H19">SUMPRODUCT(IF($B$7:$AF$7=$A19,1,0))</f>
        <v>4</v>
      </c>
      <c r="I19" s="7">
        <f t="array" ref="I19">SUMPRODUCT(IF($B$9:$AF$9=$A19,1,0))</f>
        <v>0</v>
      </c>
      <c r="J19" s="7"/>
      <c r="K19" s="7"/>
      <c r="L19" s="7"/>
      <c r="M19" s="11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1"/>
      <c r="Z19" s="1"/>
      <c r="AA19" s="1"/>
      <c r="AB19" s="1"/>
      <c r="AC19" s="1"/>
      <c r="AD19" s="1"/>
      <c r="AE19" s="1"/>
      <c r="AF19" s="1"/>
    </row>
    <row r="20" spans="1:33">
      <c r="A20" s="6" t="s">
        <v>27</v>
      </c>
      <c r="B20" s="6" t="s">
        <v>16</v>
      </c>
      <c r="C20" s="6">
        <v>9</v>
      </c>
      <c r="D20" s="7"/>
      <c r="E20" s="7">
        <f t="array" ref="E20">SUMPRODUCT(IF($B$4:$AF$4=$A20,1,0))</f>
        <v>0</v>
      </c>
      <c r="F20" s="7">
        <f t="array" ref="F20">SUMPRODUCT(IF($B$5:$AF$5=$A20,1,0))</f>
        <v>0</v>
      </c>
      <c r="G20" s="7">
        <f t="array" ref="G20">SUMPRODUCT(IF($B$6:$AF$6=$A20,1,0))</f>
        <v>0</v>
      </c>
      <c r="H20" s="7">
        <f t="array" ref="H20">SUMPRODUCT(IF($B$7:$AF$7=$A20,1,0))</f>
        <v>0</v>
      </c>
      <c r="I20" s="7">
        <f t="array" ref="I20">SUMPRODUCT(IF($B$9:$AF$9=$A20,1,0))</f>
        <v>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1"/>
      <c r="Z20" s="1"/>
      <c r="AA20" s="1"/>
      <c r="AB20" s="1"/>
      <c r="AC20" s="1" t="s">
        <v>50</v>
      </c>
      <c r="AD20" s="1"/>
      <c r="AE20" s="1"/>
      <c r="AF20" s="1"/>
    </row>
    <row r="21" spans="1:33">
      <c r="A21" s="6" t="s">
        <v>28</v>
      </c>
      <c r="B21" s="6" t="s">
        <v>29</v>
      </c>
      <c r="C21" s="6">
        <v>8</v>
      </c>
      <c r="D21" s="7"/>
      <c r="E21" s="7">
        <f t="array" ref="E21">SUMPRODUCT(IF($B$4:$AF$4=$A21,1,0))</f>
        <v>0</v>
      </c>
      <c r="F21" s="7">
        <f t="array" ref="F21">SUMPRODUCT(IF($B$5:$AF$5=$A21,1,0))</f>
        <v>0</v>
      </c>
      <c r="G21" s="7">
        <f t="array" ref="G21">SUMPRODUCT(IF($B$6:$AF$6=$A21,1,0))</f>
        <v>0</v>
      </c>
      <c r="H21" s="7">
        <f t="array" ref="H21">SUMPRODUCT(IF($B$7:$AF$7=$A21,1,0))</f>
        <v>0</v>
      </c>
      <c r="I21" s="7">
        <f t="array" ref="I21">SUMPRODUCT(IF($B$9:$AF$9=$A21,1,0))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1"/>
      <c r="Z21" s="1"/>
      <c r="AA21" s="1"/>
      <c r="AB21" s="1"/>
      <c r="AC21" s="1"/>
      <c r="AD21" s="1"/>
      <c r="AE21" s="1"/>
      <c r="AF21" s="1"/>
    </row>
    <row r="22" spans="1:33" ht="16">
      <c r="A22" s="6" t="s">
        <v>30</v>
      </c>
      <c r="B22" s="6" t="s">
        <v>31</v>
      </c>
      <c r="C22" s="6">
        <v>7</v>
      </c>
      <c r="D22" s="7"/>
      <c r="E22" s="7">
        <f t="array" ref="E22">SUMPRODUCT(IF($B$4:$AF$4=$A22,1,0))</f>
        <v>0</v>
      </c>
      <c r="F22" s="7">
        <f t="array" ref="F22">SUMPRODUCT(IF($B$5:$AF$5=$A22,1,0))</f>
        <v>0</v>
      </c>
      <c r="G22" s="7">
        <f t="array" ref="G22">SUMPRODUCT(IF($B$6:$AF$6=$A22,1,0))</f>
        <v>0</v>
      </c>
      <c r="H22" s="7">
        <f t="array" ref="H22">SUMPRODUCT(IF($B$7:$AF$7=$A22,1,0))</f>
        <v>0</v>
      </c>
      <c r="I22" s="7">
        <f t="array" ref="I22">SUMPRODUCT(IF($B$9:$AF$9=$A22,1,0))</f>
        <v>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 t="s">
        <v>38</v>
      </c>
      <c r="U22" s="7"/>
      <c r="V22" s="7"/>
      <c r="W22" s="7"/>
      <c r="X22" s="7"/>
      <c r="Y22" s="1"/>
      <c r="Z22" s="1"/>
      <c r="AA22" s="1"/>
      <c r="AB22" s="1"/>
      <c r="AC22" s="1"/>
      <c r="AD22" s="1"/>
      <c r="AE22" s="1"/>
      <c r="AF22" s="1"/>
    </row>
    <row r="23" spans="1:33">
      <c r="A23" s="6" t="s">
        <v>21</v>
      </c>
      <c r="B23" s="6" t="s">
        <v>22</v>
      </c>
      <c r="C23" s="6">
        <v>6</v>
      </c>
      <c r="D23" s="7"/>
      <c r="E23" s="7">
        <f t="array" ref="E23">SUMPRODUCT(IF($B$4:$AF$4=$A23,1,0))</f>
        <v>0</v>
      </c>
      <c r="F23" s="7">
        <f t="array" ref="F23">SUMPRODUCT(IF($B$5:$AF$5=$A23,1,0))</f>
        <v>0</v>
      </c>
      <c r="G23" s="7">
        <f t="array" ref="G23">SUMPRODUCT(IF($B$6:$AF$6=$A23,1,0))</f>
        <v>0</v>
      </c>
      <c r="H23" s="7">
        <f t="array" ref="H23">SUMPRODUCT(IF($B$7:$AF$7=$A23,1,0))</f>
        <v>0</v>
      </c>
      <c r="I23" s="7">
        <f t="array" ref="I23">SUMPRODUCT(IF($B$9:$AF$9=$A23,1,0))</f>
        <v>0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V23" s="7"/>
      <c r="W23" s="7"/>
      <c r="X23" s="7"/>
      <c r="Y23" s="1"/>
      <c r="Z23" s="1"/>
      <c r="AA23" s="1"/>
      <c r="AB23" s="1"/>
      <c r="AC23" s="1"/>
      <c r="AD23" s="1"/>
      <c r="AE23" s="1"/>
      <c r="AF23" s="1"/>
    </row>
    <row r="24" spans="1:33">
      <c r="A24" s="8" t="s">
        <v>5</v>
      </c>
      <c r="B24" s="8" t="s">
        <v>26</v>
      </c>
      <c r="C24" s="8">
        <v>10</v>
      </c>
      <c r="D24" s="6"/>
      <c r="E24" s="7">
        <f t="array" ref="E24">SUMPRODUCT(IF($B$4:$AF$4=$A24,1,0))</f>
        <v>2</v>
      </c>
      <c r="F24" s="7">
        <f t="array" ref="F24">SUMPRODUCT(IF($B$5:$AF$5=$A24,1,0))</f>
        <v>1</v>
      </c>
      <c r="G24" s="7">
        <f t="array" ref="G24">SUMPRODUCT(IF($B$6:$AF$6=$A24,1,0))</f>
        <v>1</v>
      </c>
      <c r="H24" s="7">
        <f t="array" ref="H24">SUMPRODUCT(IF($B$7:$AF$7=$A24,1,0))</f>
        <v>0</v>
      </c>
      <c r="I24" s="7">
        <f t="array" ref="I24">SUMPRODUCT(IF($B$9:$AF$9=$A24,1,0))</f>
        <v>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1"/>
      <c r="Z24" s="1"/>
      <c r="AA24" s="1"/>
      <c r="AB24" s="1"/>
      <c r="AC24" s="1"/>
      <c r="AD24" s="1"/>
      <c r="AE24" s="1"/>
      <c r="AF24" s="1"/>
    </row>
    <row r="25" spans="1:33">
      <c r="A25" s="6" t="s">
        <v>46</v>
      </c>
      <c r="B25" s="6" t="s">
        <v>47</v>
      </c>
      <c r="C25" s="6">
        <v>9</v>
      </c>
      <c r="D25" s="7"/>
      <c r="E25" s="7">
        <f t="array" ref="E25">SUMPRODUCT(IF($B$4:$AF$4=$A25,1,0))</f>
        <v>0</v>
      </c>
      <c r="F25" s="7">
        <f t="array" ref="F25">SUMPRODUCT(IF($B$5:$AF$5=$A25,1,0))</f>
        <v>0</v>
      </c>
      <c r="G25" s="7">
        <f t="array" ref="G25">SUMPRODUCT(IF($B$6:$AF$6=$A25,1,0))</f>
        <v>0</v>
      </c>
      <c r="H25" s="7">
        <f t="array" ref="H25">SUMPRODUCT(IF($B$7:$AF$7=$A25,1,0))</f>
        <v>0</v>
      </c>
      <c r="I25" s="7">
        <f t="array" ref="I25">SUMPRODUCT(IF($B$9:$AF$9=$A25,1,0))</f>
        <v>0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6"/>
    </row>
    <row r="26" spans="1:33">
      <c r="A26" s="6" t="s">
        <v>17</v>
      </c>
      <c r="B26" s="6" t="s">
        <v>18</v>
      </c>
      <c r="C26" s="6">
        <v>0</v>
      </c>
      <c r="D26" s="7"/>
      <c r="E26" s="7">
        <f t="array" ref="E26">SUMPRODUCT(IF($B$4:$AF$4=$A26,1,0))</f>
        <v>9</v>
      </c>
      <c r="F26" s="7">
        <f t="array" ref="F26">SUMPRODUCT(IF($B$5:$AF$5=$A26,1,0))</f>
        <v>11</v>
      </c>
      <c r="G26" s="7">
        <f t="array" ref="G26">SUMPRODUCT(IF($B$6:$AF$6=$A26,1,0))</f>
        <v>10</v>
      </c>
      <c r="H26" s="7">
        <f t="array" ref="H26">SUMPRODUCT(IF($B$7:$AF$7=$A26,1,0))</f>
        <v>0</v>
      </c>
      <c r="I26" s="7">
        <f t="array" ref="I26">SUMPRODUCT(IF($B$9:$AF$9=$A26,1,0))</f>
        <v>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6"/>
    </row>
    <row r="27" spans="1:33">
      <c r="A27" s="6"/>
      <c r="B27" s="7"/>
      <c r="C27" s="7"/>
      <c r="D27" s="7"/>
      <c r="E27" s="7">
        <f t="array" ref="E27">SUMPRODUCT(IF($B$4:$AF$4=$A27,1,0))</f>
        <v>1</v>
      </c>
      <c r="F27" s="7">
        <f t="array" ref="F27">SUMPRODUCT(IF($B$5:$AF$5=$A27,1,0))</f>
        <v>1</v>
      </c>
      <c r="G27" s="7">
        <f t="array" ref="G27">SUMPRODUCT(IF($B$6:$AF$6=$A27,1,0))</f>
        <v>1</v>
      </c>
      <c r="H27" s="7">
        <f t="array" ref="H27">SUMPRODUCT(IF($B$7:$AF$7=$A27,1,0))</f>
        <v>27</v>
      </c>
      <c r="I27" s="7">
        <f t="array" ref="I27">SUMPRODUCT(IF($B$9:$AF$9=$A27,1,0))</f>
        <v>1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6" t="s">
        <v>23</v>
      </c>
    </row>
    <row r="28" spans="1:33">
      <c r="A28" s="9" t="s">
        <v>4</v>
      </c>
      <c r="B28" s="6" cm="1">
        <f t="array" ref="B28">IF(OR(B4="M",B4="M8",B4="M9",B4="M10",B4="M15",B4="M16",B4="E",B4="E13",B4="E14",B4="E15",B4="E16",B4="A",B4="S",B4="O",B4="早",B4="午",B4="晚",B4="x",B4="X",B4=""),_xlfn.IFS(B4="M",9,B4="M8",5,B4="M9",9,B4="M10",8,B4="M15",7,B4="M16",8,B4="E",5,B4="E13",9,B4="E14",8,B4="E15",7,B4="E16",6,B4="A",10,B4="S",9,B4="O",0,B4="早",4.5,B4="午",4,B4="晚",4,B4="x",0,B4="X",0,B4="",0,TRUE,0),IF(ISNUMBER(FIND(" ",B4)),VALUE(MID(B4,FIND(" ",B4)+1,10))-VALUE(LEFT(B4,FIND(" ",B4)-1)),0))</f>
        <v>9</v>
      </c>
      <c r="C28" s="6" cm="1">
        <f t="array" ref="C28">IF(OR(C4="M",C4="M8",C4="M9",C4="M10",C4="M15",C4="M16",C4="E",C4="E13",C4="E14",C4="E15",C4="E16",C4="A",C4="S",C4="O",C4="早",C4="午",C4="晚",C4="x",C4="X",C4=""),_xlfn.IFS(C4="M",9,C4="M8",5,C4="M9",9,C4="M10",8,C4="M15",7,C4="M16",8,C4="E",5,C4="E13",9,C4="E14",8,C4="E15",7,C4="E16",6,C4="A",10,C4="S",9,C4="O",0,C4="早",4.5,C4="午",4,C4="晚",4,C4="x",0,C4="X",0,C4="",0,TRUE,0),IF(ISNUMBER(FIND(" ",C4)),VALUE(MID(C4,FIND(" ",C4)+1,10))-VALUE(LEFT(C4,FIND(" ",C4)-1)),0))</f>
        <v>5</v>
      </c>
      <c r="D28" s="6" cm="1">
        <f t="array" ref="D28">IF(OR(D4="M",D4="M8",D4="M9",D4="M10",D4="M15",D4="M16",D4="E",D4="E13",D4="E14",D4="E15",D4="E16",D4="A",D4="S",D4="O",D4="早",D4="午",D4="晚",D4="x",D4="X",D4=""),_xlfn.IFS(D4="M",9,D4="M8",5,D4="M9",9,D4="M10",8,D4="M15",7,D4="M16",8,D4="E",5,D4="E13",9,D4="E14",8,D4="E15",7,D4="E16",6,D4="A",10,D4="S",9,D4="O",0,D4="早",4.5,D4="午",4,D4="晚",4,D4="x",0,D4="X",0,D4="",0,TRUE,0),IF(ISNUMBER(FIND(" ",D4)),VALUE(MID(D4,FIND(" ",D4)+1,10))-VALUE(LEFT(D4,FIND(" ",D4)-1)),0))</f>
        <v>5</v>
      </c>
      <c r="E28" s="6" cm="1">
        <f t="array" ref="E28">IF(OR(E4="M",E4="M8",E4="M9",E4="M10",E4="M15",E4="M16",E4="E",E4="E13",E4="E14",E4="E15",E4="E16",E4="A",E4="S",E4="O",E4="早",E4="午",E4="晚",E4="x",E4="X",E4=""),_xlfn.IFS(E4="M",9,E4="M8",5,E4="M9",9,E4="M10",8,E4="M15",7,E4="M16",8,E4="E",5,E4="E13",9,E4="E14",8,E4="E15",7,E4="E16",6,E4="A",10,E4="S",9,E4="O",0,E4="早",4.5,E4="午",4,E4="晚",4,E4="x",0,E4="X",0,E4="",0,TRUE,0),IF(ISNUMBER(FIND(" ",E4)),VALUE(MID(E4,FIND(" ",E4)+1,10))-VALUE(LEFT(E4,FIND(" ",E4)-1)),0))</f>
        <v>0</v>
      </c>
      <c r="F28" s="6" cm="1">
        <f t="array" ref="F28">IF(OR(F4="M",F4="M8",F4="M9",F4="M10",F4="M15",F4="M16",F4="E",F4="E13",F4="E14",F4="E15",F4="E16",F4="A",F4="S",F4="O",F4="早",F4="午",F4="晚",F4="x",F4="X",F4=""),_xlfn.IFS(F4="M",9,F4="M8",5,F4="M9",9,F4="M10",8,F4="M15",7,F4="M16",8,F4="E",5,F4="E13",9,F4="E14",8,F4="E15",7,F4="E16",6,F4="A",10,F4="S",9,F4="O",0,F4="早",4.5,F4="午",4,F4="晚",4,F4="x",0,F4="X",0,F4="",0,TRUE,0),IF(ISNUMBER(FIND(" ",F4)),VALUE(MID(F4,FIND(" ",F4)+1,10))-VALUE(LEFT(F4,FIND(" ",F4)-1)),0))</f>
        <v>9</v>
      </c>
      <c r="G28" s="6" cm="1">
        <f t="array" ref="G28">IF(OR(G4="M",G4="M8",G4="M9",G4="M10",G4="M15",G4="M16",G4="E",G4="E13",G4="E14",G4="E15",G4="E16",G4="A",G4="S",G4="O",G4="早",G4="午",G4="晚",G4="x",G4="X",G4=""),_xlfn.IFS(G4="M",9,G4="M8",5,G4="M9",9,G4="M10",8,G4="M15",7,G4="M16",8,G4="E",5,G4="E13",9,G4="E14",8,G4="E15",7,G4="E16",6,G4="A",10,G4="S",9,G4="O",0,G4="早",4.5,G4="午",4,G4="晚",4,G4="x",0,G4="X",0,G4="",0,TRUE,0),IF(ISNUMBER(FIND(" ",G4)),VALUE(MID(G4,FIND(" ",G4)+1,10))-VALUE(LEFT(G4,FIND(" ",G4)-1)),0))</f>
        <v>5</v>
      </c>
      <c r="H28" s="6" cm="1">
        <f t="array" ref="H28">IF(OR(H4="M",H4="M8",H4="M9",H4="M10",H4="M15",H4="M16",H4="E",H4="E13",H4="E14",H4="E15",H4="E16",H4="A",H4="S",H4="O",H4="早",H4="午",H4="晚",H4="x",H4="X",H4=""),_xlfn.IFS(H4="M",9,H4="M8",5,H4="M9",9,H4="M10",8,H4="M15",7,H4="M16",8,H4="E",5,H4="E13",9,H4="E14",8,H4="E15",7,H4="E16",6,H4="A",10,H4="S",9,H4="O",0,H4="早",4.5,H4="午",4,H4="晚",4,H4="x",0,H4="X",0,H4="",0,TRUE,0),IF(ISNUMBER(FIND(" ",H4)),VALUE(MID(H4,FIND(" ",H4)+1,10))-VALUE(LEFT(H4,FIND(" ",H4)-1)),0))</f>
        <v>0</v>
      </c>
      <c r="I28" s="6" cm="1">
        <f t="array" ref="I28">IF(OR(I4="M",I4="M8",I4="M9",I4="M10",I4="M15",I4="M16",I4="E",I4="E13",I4="E14",I4="E15",I4="E16",I4="A",I4="S",I4="O",I4="早",I4="午",I4="晚",I4="x",I4="X",I4=""),_xlfn.IFS(I4="M",9,I4="M8",5,I4="M9",9,I4="M10",8,I4="M15",7,I4="M16",8,I4="E",5,I4="E13",9,I4="E14",8,I4="E15",7,I4="E16",6,I4="A",10,I4="S",9,I4="O",0,I4="早",4.5,I4="午",4,I4="晚",4,I4="x",0,I4="X",0,I4="",0,TRUE,0),IF(ISNUMBER(FIND(" ",I4)),VALUE(MID(I4,FIND(" ",I4)+1,10))-VALUE(LEFT(I4,FIND(" ",I4)-1)),0))</f>
        <v>9</v>
      </c>
      <c r="J28" s="6" cm="1">
        <f t="array" ref="J28">IF(OR(J4="M",J4="M8",J4="M9",J4="M10",J4="M15",J4="M16",J4="E",J4="E13",J4="E14",J4="E15",J4="E16",J4="A",J4="S",J4="O",J4="早",J4="午",J4="晚",J4="x",J4="X",J4=""),_xlfn.IFS(J4="M",9,J4="M8",5,J4="M9",9,J4="M10",8,J4="M15",7,J4="M16",8,J4="E",5,J4="E13",9,J4="E14",8,J4="E15",7,J4="E16",6,J4="A",10,J4="S",9,J4="O",0,J4="早",4.5,J4="午",4,J4="晚",4,J4="x",0,J4="X",0,J4="",0,TRUE,0),IF(ISNUMBER(FIND(" ",J4)),VALUE(MID(J4,FIND(" ",J4)+1,10))-VALUE(LEFT(J4,FIND(" ",J4)-1)),0))</f>
        <v>9</v>
      </c>
      <c r="K28" s="6" cm="1">
        <f t="array" ref="K28">IF(OR(K4="M",K4="M8",K4="M9",K4="M10",K4="M15",K4="M16",K4="E",K4="E13",K4="E14",K4="E15",K4="E16",K4="A",K4="S",K4="O",K4="早",K4="午",K4="晚",K4="x",K4="X",K4=""),_xlfn.IFS(K4="M",9,K4="M8",5,K4="M9",9,K4="M10",8,K4="M15",7,K4="M16",8,K4="E",5,K4="E13",9,K4="E14",8,K4="E15",7,K4="E16",6,K4="A",10,K4="S",9,K4="O",0,K4="早",4.5,K4="午",4,K4="晚",4,K4="x",0,K4="X",0,K4="",0,TRUE,0),IF(ISNUMBER(FIND(" ",K4)),VALUE(MID(K4,FIND(" ",K4)+1,10))-VALUE(LEFT(K4,FIND(" ",K4)-1)),0))</f>
        <v>5</v>
      </c>
      <c r="L28" s="6" cm="1">
        <f t="array" ref="L28">IF(OR(L4="M",L4="M8",L4="M9",L4="M10",L4="M15",L4="M16",L4="E",L4="E13",L4="E14",L4="E15",L4="E16",L4="A",L4="S",L4="O",L4="早",L4="午",L4="晚",L4="x",L4="X",L4=""),_xlfn.IFS(L4="M",9,L4="M8",5,L4="M9",9,L4="M10",8,L4="M15",7,L4="M16",8,L4="E",5,L4="E13",9,L4="E14",8,L4="E15",7,L4="E16",6,L4="A",10,L4="S",9,L4="O",0,L4="早",4.5,L4="午",4,L4="晚",4,L4="x",0,L4="X",0,L4="",0,TRUE,0),IF(ISNUMBER(FIND(" ",L4)),VALUE(MID(L4,FIND(" ",L4)+1,10))-VALUE(LEFT(L4,FIND(" ",L4)-1)),0))</f>
        <v>9</v>
      </c>
      <c r="M28" s="6" cm="1">
        <f t="array" ref="M28">IF(OR(M4="M",M4="M8",M4="M9",M4="M10",M4="M15",M4="M16",M4="E",M4="E13",M4="E14",M4="E15",M4="E16",M4="A",M4="S",M4="O",M4="早",M4="午",M4="晚",M4="x",M4="X",M4=""),_xlfn.IFS(M4="M",9,M4="M8",5,M4="M9",9,M4="M10",8,M4="M15",7,M4="M16",8,M4="E",5,M4="E13",9,M4="E14",8,M4="E15",7,M4="E16",6,M4="A",10,M4="S",9,M4="O",0,M4="早",4.5,M4="午",4,M4="晚",4,M4="x",0,M4="X",0,M4="",0,TRUE,0),IF(ISNUMBER(FIND(" ",M4)),VALUE(MID(M4,FIND(" ",M4)+1,10))-VALUE(LEFT(M4,FIND(" ",M4)-1)),0))</f>
        <v>5</v>
      </c>
      <c r="N28" s="6" cm="1">
        <f t="array" ref="N28">IF(OR(N4="M",N4="M8",N4="M9",N4="M10",N4="M15",N4="M16",N4="E",N4="E13",N4="E14",N4="E15",N4="E16",N4="A",N4="S",N4="O",N4="早",N4="午",N4="晚",N4="x",N4="X",N4=""),_xlfn.IFS(N4="M",9,N4="M8",5,N4="M9",9,N4="M10",8,N4="M15",7,N4="M16",8,N4="E",5,N4="E13",9,N4="E14",8,N4="E15",7,N4="E16",6,N4="A",10,N4="S",9,N4="O",0,N4="早",4.5,N4="午",4,N4="晚",4,N4="x",0,N4="X",0,N4="",0,TRUE,0),IF(ISNUMBER(FIND(" ",N4)),VALUE(MID(N4,FIND(" ",N4)+1,10))-VALUE(LEFT(N4,FIND(" ",N4)-1)),0))</f>
        <v>0</v>
      </c>
      <c r="O28" s="6" cm="1">
        <f t="array" ref="O28">IF(OR(O4="M",O4="M8",O4="M9",O4="M10",O4="M15",O4="M16",O4="E",O4="E13",O4="E14",O4="E15",O4="E16",O4="A",O4="S",O4="O",O4="早",O4="午",O4="晚",O4="x",O4="X",O4=""),_xlfn.IFS(O4="M",9,O4="M8",5,O4="M9",9,O4="M10",8,O4="M15",7,O4="M16",8,O4="E",5,O4="E13",9,O4="E14",8,O4="E15",7,O4="E16",6,O4="A",10,O4="S",9,O4="O",0,O4="早",4.5,O4="午",4,O4="晚",4,O4="x",0,O4="X",0,O4="",0,TRUE,0),IF(ISNUMBER(FIND(" ",O4)),VALUE(MID(O4,FIND(" ",O4)+1,10))-VALUE(LEFT(O4,FIND(" ",O4)-1)),0))</f>
        <v>0</v>
      </c>
      <c r="P28" s="6" cm="1">
        <f t="array" ref="P28">IF(OR(P4="M",P4="M8",P4="M9",P4="M10",P4="M15",P4="M16",P4="E",P4="E13",P4="E14",P4="E15",P4="E16",P4="A",P4="S",P4="O",P4="早",P4="午",P4="晚",P4="x",P4="X",P4=""),_xlfn.IFS(P4="M",9,P4="M8",5,P4="M9",9,P4="M10",8,P4="M15",7,P4="M16",8,P4="E",5,P4="E13",9,P4="E14",8,P4="E15",7,P4="E16",6,P4="A",10,P4="S",9,P4="O",0,P4="早",4.5,P4="午",4,P4="晚",4,P4="x",0,P4="X",0,P4="",0,TRUE,0),IF(ISNUMBER(FIND(" ",P4)),VALUE(MID(P4,FIND(" ",P4)+1,10))-VALUE(LEFT(P4,FIND(" ",P4)-1)),0))</f>
        <v>9</v>
      </c>
      <c r="Q28" s="6" cm="1">
        <f t="array" ref="Q28">IF(OR(Q4="M",Q4="M8",Q4="M9",Q4="M10",Q4="M15",Q4="M16",Q4="E",Q4="E13",Q4="E14",Q4="E15",Q4="E16",Q4="A",Q4="S",Q4="O",Q4="早",Q4="午",Q4="晚",Q4="x",Q4="X",Q4=""),_xlfn.IFS(Q4="M",9,Q4="M8",5,Q4="M9",9,Q4="M10",8,Q4="M15",7,Q4="M16",8,Q4="E",5,Q4="E13",9,Q4="E14",8,Q4="E15",7,Q4="E16",6,Q4="A",10,Q4="S",9,Q4="O",0,Q4="早",4.5,Q4="午",4,Q4="晚",4,Q4="x",0,Q4="X",0,Q4="",0,TRUE,0),IF(ISNUMBER(FIND(" ",Q4)),VALUE(MID(Q4,FIND(" ",Q4)+1,10))-VALUE(LEFT(Q4,FIND(" ",Q4)-1)),0))</f>
        <v>0</v>
      </c>
      <c r="R28" s="6" cm="1">
        <f t="array" ref="R28">IF(OR(R4="M",R4="M8",R4="M9",R4="M10",R4="M15",R4="M16",R4="E",R4="E13",R4="E14",R4="E15",R4="E16",R4="A",R4="S",R4="O",R4="早",R4="午",R4="晚",R4="x",R4="X",R4=""),_xlfn.IFS(R4="M",9,R4="M8",5,R4="M9",9,R4="M10",8,R4="M15",7,R4="M16",8,R4="E",5,R4="E13",9,R4="E14",8,R4="E15",7,R4="E16",6,R4="A",10,R4="S",9,R4="O",0,R4="早",4.5,R4="午",4,R4="晚",4,R4="x",0,R4="X",0,R4="",0,TRUE,0),IF(ISNUMBER(FIND(" ",R4)),VALUE(MID(R4,FIND(" ",R4)+1,10))-VALUE(LEFT(R4,FIND(" ",R4)-1)),0))</f>
        <v>9</v>
      </c>
      <c r="S28" s="6" cm="1">
        <f t="array" ref="S28">IF(OR(S4="M",S4="M8",S4="M9",S4="M10",S4="M15",S4="M16",S4="E",S4="E13",S4="E14",S4="E15",S4="E16",S4="A",S4="S",S4="O",S4="早",S4="午",S4="晚",S4="x",S4="X",S4=""),_xlfn.IFS(S4="M",9,S4="M8",5,S4="M9",9,S4="M10",8,S4="M15",7,S4="M16",8,S4="E",5,S4="E13",9,S4="E14",8,S4="E15",7,S4="E16",6,S4="A",10,S4="S",9,S4="O",0,S4="早",4.5,S4="午",4,S4="晚",4,S4="x",0,S4="X",0,S4="",0,TRUE,0),IF(ISNUMBER(FIND(" ",S4)),VALUE(MID(S4,FIND(" ",S4)+1,10))-VALUE(LEFT(S4,FIND(" ",S4)-1)),0))</f>
        <v>5</v>
      </c>
      <c r="T28" s="6" cm="1">
        <f t="array" ref="T28">IF(OR(T4="M",T4="M8",T4="M9",T4="M10",T4="M15",T4="M16",T4="E",T4="E13",T4="E14",T4="E15",T4="E16",T4="A",T4="S",T4="O",T4="早",T4="午",T4="晚",T4="x",T4="X",T4=""),_xlfn.IFS(T4="M",9,T4="M8",5,T4="M9",9,T4="M10",8,T4="M15",7,T4="M16",8,T4="E",5,T4="E13",9,T4="E14",8,T4="E15",7,T4="E16",6,T4="A",10,T4="S",9,T4="O",0,T4="早",4.5,T4="午",4,T4="晚",4,T4="x",0,T4="X",0,T4="",0,TRUE,0),IF(ISNUMBER(FIND(" ",T4)),VALUE(MID(T4,FIND(" ",T4)+1,10))-VALUE(LEFT(T4,FIND(" ",T4)-1)),0))</f>
        <v>0</v>
      </c>
      <c r="U28" s="6" cm="1">
        <f t="array" ref="U28">IF(OR(U4="M",U4="M8",U4="M9",U4="M10",U4="M15",U4="M16",U4="E",U4="E13",U4="E14",U4="E15",U4="E16",U4="A",U4="S",U4="O",U4="早",U4="午",U4="晚",U4="x",U4="X",U4=""),_xlfn.IFS(U4="M",9,U4="M8",5,U4="M9",9,U4="M10",8,U4="M15",7,U4="M16",8,U4="E",5,U4="E13",9,U4="E14",8,U4="E15",7,U4="E16",6,U4="A",10,U4="S",9,U4="O",0,U4="早",4.5,U4="午",4,U4="晚",4,U4="x",0,U4="X",0,U4="",0,TRUE,0),IF(ISNUMBER(FIND(" ",U4)),VALUE(MID(U4,FIND(" ",U4)+1,10))-VALUE(LEFT(U4,FIND(" ",U4)-1)),0))</f>
        <v>9</v>
      </c>
      <c r="V28" s="6" cm="1">
        <f t="array" ref="V28">IF(OR(V4="M",V4="M8",V4="M9",V4="M10",V4="M15",V4="M16",V4="E",V4="E13",V4="E14",V4="E15",V4="E16",V4="A",V4="S",V4="O",V4="早",V4="午",V4="晚",V4="x",V4="X",V4=""),_xlfn.IFS(V4="M",9,V4="M8",5,V4="M9",9,V4="M10",8,V4="M15",7,V4="M16",8,V4="E",5,V4="E13",9,V4="E14",8,V4="E15",7,V4="E16",6,V4="A",10,V4="S",9,V4="O",0,V4="早",4.5,V4="午",4,V4="晚",4,V4="x",0,V4="X",0,V4="",0,TRUE,0),IF(ISNUMBER(FIND(" ",V4)),VALUE(MID(V4,FIND(" ",V4)+1,10))-VALUE(LEFT(V4,FIND(" ",V4)-1)),0))</f>
        <v>10</v>
      </c>
      <c r="W28" s="6" cm="1">
        <f t="array" ref="W28">IF(OR(W4="M",W4="M8",W4="M9",W4="M10",W4="M15",W4="M16",W4="E",W4="E13",W4="E14",W4="E15",W4="E16",W4="A",W4="S",W4="O",W4="早",W4="午",W4="晚",W4="x",W4="X",W4=""),_xlfn.IFS(W4="M",9,W4="M8",5,W4="M9",9,W4="M10",8,W4="M15",7,W4="M16",8,W4="E",5,W4="E13",9,W4="E14",8,W4="E15",7,W4="E16",6,W4="A",10,W4="S",9,W4="O",0,W4="早",4.5,W4="午",4,W4="晚",4,W4="x",0,W4="X",0,W4="",0,TRUE,0),IF(ISNUMBER(FIND(" ",W4)),VALUE(MID(W4,FIND(" ",W4)+1,10))-VALUE(LEFT(W4,FIND(" ",W4)-1)),0))</f>
        <v>5</v>
      </c>
      <c r="X28" s="6" cm="1">
        <f t="array" ref="X28">IF(OR(X4="M",X4="M8",X4="M9",X4="M10",X4="M15",X4="M16",X4="E",X4="E13",X4="E14",X4="E15",X4="E16",X4="A",X4="S",X4="O",X4="早",X4="午",X4="晚",X4="x",X4="X",X4=""),_xlfn.IFS(X4="M",9,X4="M8",5,X4="M9",9,X4="M10",8,X4="M15",7,X4="M16",8,X4="E",5,X4="E13",9,X4="E14",8,X4="E15",7,X4="E16",6,X4="A",10,X4="S",9,X4="O",0,X4="早",4.5,X4="午",4,X4="晚",4,X4="x",0,X4="X",0,X4="",0,TRUE,0),IF(ISNUMBER(FIND(" ",X4)),VALUE(MID(X4,FIND(" ",X4)+1,10))-VALUE(LEFT(X4,FIND(" ",X4)-1)),0))</f>
        <v>5</v>
      </c>
      <c r="Y28" s="6" cm="1">
        <f t="array" ref="Y28">IF(OR(Y4="M",Y4="M8",Y4="M9",Y4="M10",Y4="M15",Y4="M16",Y4="E",Y4="E13",Y4="E14",Y4="E15",Y4="E16",Y4="A",Y4="S",Y4="O",Y4="早",Y4="午",Y4="晚",Y4="x",Y4="X",Y4=""),_xlfn.IFS(Y4="M",9,Y4="M8",5,Y4="M9",9,Y4="M10",8,Y4="M15",7,Y4="M16",8,Y4="E",5,Y4="E13",9,Y4="E14",8,Y4="E15",7,Y4="E16",6,Y4="A",10,Y4="S",9,Y4="O",0,Y4="早",4.5,Y4="午",4,Y4="晚",4,Y4="x",0,Y4="X",0,Y4="",0,TRUE,0),IF(ISNUMBER(FIND(" ",Y4)),VALUE(MID(Y4,FIND(" ",Y4)+1,10))-VALUE(LEFT(Y4,FIND(" ",Y4)-1)),0))</f>
        <v>0</v>
      </c>
      <c r="Z28" s="6" cm="1">
        <f t="array" ref="Z28">IF(OR(Z4="M",Z4="M8",Z4="M9",Z4="M10",Z4="M15",Z4="M16",Z4="E",Z4="E13",Z4="E14",Z4="E15",Z4="E16",Z4="A",Z4="S",Z4="O",Z4="早",Z4="午",Z4="晚",Z4="x",Z4="X",Z4=""),_xlfn.IFS(Z4="M",9,Z4="M8",5,Z4="M9",9,Z4="M10",8,Z4="M15",7,Z4="M16",8,Z4="E",5,Z4="E13",9,Z4="E14",8,Z4="E15",7,Z4="E16",6,Z4="A",10,Z4="S",9,Z4="O",0,Z4="早",4.5,Z4="午",4,Z4="晚",4,Z4="x",0,Z4="X",0,Z4="",0,TRUE,0),IF(ISNUMBER(FIND(" ",Z4)),VALUE(MID(Z4,FIND(" ",Z4)+1,10))-VALUE(LEFT(Z4,FIND(" ",Z4)-1)),0))</f>
        <v>5</v>
      </c>
      <c r="AA28" s="6" cm="1">
        <f t="array" ref="AA28">IF(OR(AA4="M",AA4="M8",AA4="M9",AA4="M10",AA4="M15",AA4="M16",AA4="E",AA4="E13",AA4="E14",AA4="E15",AA4="E16",AA4="A",AA4="S",AA4="O",AA4="早",AA4="午",AA4="晚",AA4="x",AA4="X",AA4=""),_xlfn.IFS(AA4="M",9,AA4="M8",5,AA4="M9",9,AA4="M10",8,AA4="M15",7,AA4="M16",8,AA4="E",5,AA4="E13",9,AA4="E14",8,AA4="E15",7,AA4="E16",6,AA4="A",10,AA4="S",9,AA4="O",0,AA4="早",4.5,AA4="午",4,AA4="晚",4,AA4="x",0,AA4="X",0,AA4="",0,TRUE,0),IF(ISNUMBER(FIND(" ",AA4)),VALUE(MID(AA4,FIND(" ",AA4)+1,10))-VALUE(LEFT(AA4,FIND(" ",AA4)-1)),0))</f>
        <v>0</v>
      </c>
      <c r="AB28" s="6" cm="1">
        <f t="array" ref="AB28">IF(OR(AB4="M",AB4="M8",AB4="M9",AB4="M10",AB4="M15",AB4="M16",AB4="E",AB4="E13",AB4="E14",AB4="E15",AB4="E16",AB4="A",AB4="S",AB4="O",AB4="早",AB4="午",AB4="晚",AB4="x",AB4="X",AB4=""),_xlfn.IFS(AB4="M",9,AB4="M8",5,AB4="M9",9,AB4="M10",8,AB4="M15",7,AB4="M16",8,AB4="E",5,AB4="E13",9,AB4="E14",8,AB4="E15",7,AB4="E16",6,AB4="A",10,AB4="S",9,AB4="O",0,AB4="早",4.5,AB4="午",4,AB4="晚",4,AB4="x",0,AB4="X",0,AB4="",0,TRUE,0),IF(ISNUMBER(FIND(" ",AB4)),VALUE(MID(AB4,FIND(" ",AB4)+1,10))-VALUE(LEFT(AB4,FIND(" ",AB4)-1)),0))</f>
        <v>9</v>
      </c>
      <c r="AC28" s="6" cm="1">
        <f t="array" ref="AC28">IF(OR(AC4="M",AC4="M8",AC4="M9",AC4="M10",AC4="M15",AC4="M16",AC4="E",AC4="E13",AC4="E14",AC4="E15",AC4="E16",AC4="A",AC4="S",AC4="O",AC4="早",AC4="午",AC4="晚",AC4="x",AC4="X",AC4=""),_xlfn.IFS(AC4="M",9,AC4="M8",5,AC4="M9",9,AC4="M10",8,AC4="M15",7,AC4="M16",8,AC4="E",5,AC4="E13",9,AC4="E14",8,AC4="E15",7,AC4="E16",6,AC4="A",10,AC4="S",9,AC4="O",0,AC4="早",4.5,AC4="午",4,AC4="晚",4,AC4="x",0,AC4="X",0,AC4="",0,TRUE,0),IF(ISNUMBER(FIND(" ",AC4)),VALUE(MID(AC4,FIND(" ",AC4)+1,10))-VALUE(LEFT(AC4,FIND(" ",AC4)-1)),0))</f>
        <v>10</v>
      </c>
      <c r="AD28" s="6" cm="1">
        <f t="array" ref="AD28">IF(OR(AD4="M",AD4="M8",AD4="M9",AD4="M10",AD4="M15",AD4="M16",AD4="E",AD4="E13",AD4="E14",AD4="E15",AD4="E16",AD4="A",AD4="S",AD4="O",AD4="早",AD4="午",AD4="晚",AD4="x",AD4="X",AD4=""),_xlfn.IFS(AD4="M",9,AD4="M8",5,AD4="M9",9,AD4="M10",8,AD4="M15",7,AD4="M16",8,AD4="E",5,AD4="E13",9,AD4="E14",8,AD4="E15",7,AD4="E16",6,AD4="A",10,AD4="S",9,AD4="O",0,AD4="早",4.5,AD4="午",4,AD4="晚",4,AD4="x",0,AD4="X",0,AD4="",0,TRUE,0),IF(ISNUMBER(FIND(" ",AD4)),VALUE(MID(AD4,FIND(" ",AD4)+1,10))-VALUE(LEFT(AD4,FIND(" ",AD4)-1)),0))</f>
        <v>5</v>
      </c>
      <c r="AE28" s="6" cm="1">
        <f t="array" ref="AE28">IF(OR(AE4="M",AE4="M8",AE4="M9",AE4="M10",AE4="M15",AE4="M16",AE4="E",AE4="E13",AE4="E14",AE4="E15",AE4="E16",AE4="A",AE4="S",AE4="O",AE4="早",AE4="午",AE4="晚",AE4="x",AE4="X",AE4=""),_xlfn.IFS(AE4="M",9,AE4="M8",5,AE4="M9",9,AE4="M10",8,AE4="M15",7,AE4="M16",8,AE4="E",5,AE4="E13",9,AE4="E14",8,AE4="E15",7,AE4="E16",6,AE4="A",10,AE4="S",9,AE4="O",0,AE4="早",4.5,AE4="午",4,AE4="晚",4,AE4="x",0,AE4="X",0,AE4="",0,TRUE,0),IF(ISNUMBER(FIND(" ",AE4)),VALUE(MID(AE4,FIND(" ",AE4)+1,10))-VALUE(LEFT(AE4,FIND(" ",AE4)-1)),0))</f>
        <v>0</v>
      </c>
      <c r="AF28" s="6" cm="1">
        <f t="array" ref="AF28">IF(OR(AF4="M",AF4="M8",AF4="M9",AF4="M10",AF4="M15",AF4="M16",AF4="E",AF4="E13",AF4="E14",AF4="E15",AF4="E16",AF4="A",AF4="S",AF4="O",AF4="早",AF4="午",AF4="晚",AF4="x",AF4="X",AF4=""),_xlfn.IFS(AF4="M",9,AF4="M8",5,AF4="M9",9,AF4="M10",8,AF4="M15",7,AF4="M16",8,AF4="E",5,AF4="E13",9,AF4="E14",8,AF4="E15",7,AF4="E16",6,AF4="A",10,AF4="S",9,AF4="O",0,AF4="早",4.5,AF4="午",4,AF4="晚",4,AF4="x",0,AF4="X",0,AF4="",0,TRUE,0),IF(ISNUMBER(FIND(" ",AF4)),VALUE(MID(AF4,FIND(" ",AF4)+1,10))-VALUE(LEFT(AF4,FIND(" ",AF4)-1)),0))</f>
        <v>0</v>
      </c>
      <c r="AG28" s="6">
        <f t="shared" ref="AG28:AG34" si="3">SUM(B28:AF28)</f>
        <v>151</v>
      </c>
    </row>
    <row r="29" spans="1:33">
      <c r="A29" s="9" t="s">
        <v>6</v>
      </c>
      <c r="B29" s="6" cm="1">
        <f t="array" ref="B29">IF(OR(B5="M",B5="M8",B5="M9",B5="M10",B5="M15",B5="M16",B5="E",B5="E13",B5="E14",B5="E15",B5="E16",B5="A",B5="S",B5="O",B5="早",B5="午",B5="晚",B5="x",B5="X",B5=""),_xlfn.IFS(B5="M",9,B5="M8",5,B5="M9",9,B5="M10",8,B5="M15",7,B5="M16",8,B5="E",5,B5="E13",9,B5="E14",8,B5="E15",7,B5="E16",6,B5="A",10,B5="S",9,B5="O",0,B5="早",4.5,B5="午",4,B5="晚",4,B5="x",0,B5="X",0,B5="",0,TRUE,0),IF(ISNUMBER(FIND(" ",B5)),VALUE(MID(B5,FIND(" ",B5)+1,10))-VALUE(LEFT(B5,FIND(" ",B5)-1)),0))</f>
        <v>5</v>
      </c>
      <c r="C29" s="6" cm="1">
        <f t="array" ref="C29">IF(OR(C5="M",C5="M8",C5="M9",C5="M10",C5="M15",C5="M16",C5="E",C5="E13",C5="E14",C5="E15",C5="E16",C5="A",C5="S",C5="O",C5="早",C5="午",C5="晚",C5="x",C5="X",C5=""),_xlfn.IFS(C5="M",9,C5="M8",5,C5="M9",9,C5="M10",8,C5="M15",7,C5="M16",8,C5="E",5,C5="E13",9,C5="E14",8,C5="E15",7,C5="E16",6,C5="A",10,C5="S",9,C5="O",0,C5="早",4.5,C5="午",4,C5="晚",4,C5="x",0,C5="X",0,C5="",0,TRUE,0),IF(ISNUMBER(FIND(" ",C5)),VALUE(MID(C5,FIND(" ",C5)+1,10))-VALUE(LEFT(C5,FIND(" ",C5)-1)),0))</f>
        <v>0</v>
      </c>
      <c r="D29" s="6" cm="1">
        <f t="array" ref="D29">IF(OR(D5="M",D5="M8",D5="M9",D5="M10",D5="M15",D5="M16",D5="E",D5="E13",D5="E14",D5="E15",D5="E16",D5="A",D5="S",D5="O",D5="早",D5="午",D5="晚",D5="x",D5="X",D5=""),_xlfn.IFS(D5="M",9,D5="M8",5,D5="M9",9,D5="M10",8,D5="M15",7,D5="M16",8,D5="E",5,D5="E13",9,D5="E14",8,D5="E15",7,D5="E16",6,D5="A",10,D5="S",9,D5="O",0,D5="早",4.5,D5="午",4,D5="晚",4,D5="x",0,D5="X",0,D5="",0,TRUE,0),IF(ISNUMBER(FIND(" ",D5)),VALUE(MID(D5,FIND(" ",D5)+1,10))-VALUE(LEFT(D5,FIND(" ",D5)-1)),0))</f>
        <v>9</v>
      </c>
      <c r="E29" s="6" cm="1">
        <f t="array" ref="E29">IF(OR(E5="M",E5="M8",E5="M9",E5="M10",E5="M15",E5="M16",E5="E",E5="E13",E5="E14",E5="E15",E5="E16",E5="A",E5="S",E5="O",E5="早",E5="午",E5="晚",E5="x",E5="X",E5=""),_xlfn.IFS(E5="M",9,E5="M8",5,E5="M9",9,E5="M10",8,E5="M15",7,E5="M16",8,E5="E",5,E5="E13",9,E5="E14",8,E5="E15",7,E5="E16",6,E5="A",10,E5="S",9,E5="O",0,E5="早",4.5,E5="午",4,E5="晚",4,E5="x",0,E5="X",0,E5="",0,TRUE,0),IF(ISNUMBER(FIND(" ",E5)),VALUE(MID(E5,FIND(" ",E5)+1,10))-VALUE(LEFT(E5,FIND(" ",E5)-1)),0))</f>
        <v>9</v>
      </c>
      <c r="F29" s="6" cm="1">
        <f t="array" ref="F29">IF(OR(F5="M",F5="M8",F5="M9",F5="M10",F5="M15",F5="M16",F5="E",F5="E13",F5="E14",F5="E15",F5="E16",F5="A",F5="S",F5="O",F5="早",F5="午",F5="晚",F5="x",F5="X",F5=""),_xlfn.IFS(F5="M",9,F5="M8",5,F5="M9",9,F5="M10",8,F5="M15",7,F5="M16",8,F5="E",5,F5="E13",9,F5="E14",8,F5="E15",7,F5="E16",6,F5="A",10,F5="S",9,F5="O",0,F5="早",4.5,F5="午",4,F5="晚",4,F5="x",0,F5="X",0,F5="",0,TRUE,0),IF(ISNUMBER(FIND(" ",F5)),VALUE(MID(F5,FIND(" ",F5)+1,10))-VALUE(LEFT(F5,FIND(" ",F5)-1)),0))</f>
        <v>5</v>
      </c>
      <c r="G29" s="6" cm="1">
        <f t="array" ref="G29">IF(OR(G5="M",G5="M8",G5="M9",G5="M10",G5="M15",G5="M16",G5="E",G5="E13",G5="E14",G5="E15",G5="E16",G5="A",G5="S",G5="O",G5="早",G5="午",G5="晚",G5="x",G5="X",G5=""),_xlfn.IFS(G5="M",9,G5="M8",5,G5="M9",9,G5="M10",8,G5="M15",7,G5="M16",8,G5="E",5,G5="E13",9,G5="E14",8,G5="E15",7,G5="E16",6,G5="A",10,G5="S",9,G5="O",0,G5="早",4.5,G5="午",4,G5="晚",4,G5="x",0,G5="X",0,G5="",0,TRUE,0),IF(ISNUMBER(FIND(" ",G5)),VALUE(MID(G5,FIND(" ",G5)+1,10))-VALUE(LEFT(G5,FIND(" ",G5)-1)),0))</f>
        <v>0</v>
      </c>
      <c r="H29" s="6" cm="1">
        <f t="array" ref="H29">IF(OR(H5="M",H5="M8",H5="M9",H5="M10",H5="M15",H5="M16",H5="E",H5="E13",H5="E14",H5="E15",H5="E16",H5="A",H5="S",H5="O",H5="早",H5="午",H5="晚",H5="x",H5="X",H5=""),_xlfn.IFS(H5="M",9,H5="M8",5,H5="M9",9,H5="M10",8,H5="M15",7,H5="M16",8,H5="E",5,H5="E13",9,H5="E14",8,H5="E15",7,H5="E16",6,H5="A",10,H5="S",9,H5="O",0,H5="早",4.5,H5="午",4,H5="晚",4,H5="x",0,H5="X",0,H5="",0,TRUE,0),IF(ISNUMBER(FIND(" ",H5)),VALUE(MID(H5,FIND(" ",H5)+1,10))-VALUE(LEFT(H5,FIND(" ",H5)-1)),0))</f>
        <v>10</v>
      </c>
      <c r="I29" s="6" cm="1">
        <f t="array" ref="I29">IF(OR(I5="M",I5="M8",I5="M9",I5="M10",I5="M15",I5="M16",I5="E",I5="E13",I5="E14",I5="E15",I5="E16",I5="A",I5="S",I5="O",I5="早",I5="午",I5="晚",I5="x",I5="X",I5=""),_xlfn.IFS(I5="M",9,I5="M8",5,I5="M9",9,I5="M10",8,I5="M15",7,I5="M16",8,I5="E",5,I5="E13",9,I5="E14",8,I5="E15",7,I5="E16",6,I5="A",10,I5="S",9,I5="O",0,I5="早",4.5,I5="午",4,I5="晚",4,I5="x",0,I5="X",0,I5="",0,TRUE,0),IF(ISNUMBER(FIND(" ",I5)),VALUE(MID(I5,FIND(" ",I5)+1,10))-VALUE(LEFT(I5,FIND(" ",I5)-1)),0))</f>
        <v>5</v>
      </c>
      <c r="J29" s="6" cm="1">
        <f t="array" ref="J29">IF(OR(J5="M",J5="M8",J5="M9",J5="M10",J5="M15",J5="M16",J5="E",J5="E13",J5="E14",J5="E15",J5="E16",J5="A",J5="S",J5="O",J5="早",J5="午",J5="晚",J5="x",J5="X",J5=""),_xlfn.IFS(J5="M",9,J5="M8",5,J5="M9",9,J5="M10",8,J5="M15",7,J5="M16",8,J5="E",5,J5="E13",9,J5="E14",8,J5="E15",7,J5="E16",6,J5="A",10,J5="S",9,J5="O",0,J5="早",4.5,J5="午",4,J5="晚",4,J5="x",0,J5="X",0,J5="",0,TRUE,0),IF(ISNUMBER(FIND(" ",J5)),VALUE(MID(J5,FIND(" ",J5)+1,10))-VALUE(LEFT(J5,FIND(" ",J5)-1)),0))</f>
        <v>0</v>
      </c>
      <c r="K29" s="6" cm="1">
        <f t="array" ref="K29">IF(OR(K5="M",K5="M8",K5="M9",K5="M10",K5="M15",K5="M16",K5="E",K5="E13",K5="E14",K5="E15",K5="E16",K5="A",K5="S",K5="O",K5="早",K5="午",K5="晚",K5="x",K5="X",K5=""),_xlfn.IFS(K5="M",9,K5="M8",5,K5="M9",9,K5="M10",8,K5="M15",7,K5="M16",8,K5="E",5,K5="E13",9,K5="E14",8,K5="E15",7,K5="E16",6,K5="A",10,K5="S",9,K5="O",0,K5="早",4.5,K5="午",4,K5="晚",4,K5="x",0,K5="X",0,K5="",0,TRUE,0),IF(ISNUMBER(FIND(" ",K5)),VALUE(MID(K5,FIND(" ",K5)+1,10))-VALUE(LEFT(K5,FIND(" ",K5)-1)),0))</f>
        <v>9</v>
      </c>
      <c r="L29" s="6" cm="1">
        <f t="array" ref="L29">IF(OR(L5="M",L5="M8",L5="M9",L5="M10",L5="M15",L5="M16",L5="E",L5="E13",L5="E14",L5="E15",L5="E16",L5="A",L5="S",L5="O",L5="早",L5="午",L5="晚",L5="x",L5="X",L5=""),_xlfn.IFS(L5="M",9,L5="M8",5,L5="M9",9,L5="M10",8,L5="M15",7,L5="M16",8,L5="E",5,L5="E13",9,L5="E14",8,L5="E15",7,L5="E16",6,L5="A",10,L5="S",9,L5="O",0,L5="早",4.5,L5="午",4,L5="晚",4,L5="x",0,L5="X",0,L5="",0,TRUE,0),IF(ISNUMBER(FIND(" ",L5)),VALUE(MID(L5,FIND(" ",L5)+1,10))-VALUE(LEFT(L5,FIND(" ",L5)-1)),0))</f>
        <v>9</v>
      </c>
      <c r="M29" s="6" cm="1">
        <f t="array" ref="M29">IF(OR(M5="M",M5="M8",M5="M9",M5="M10",M5="M15",M5="M16",M5="E",M5="E13",M5="E14",M5="E15",M5="E16",M5="A",M5="S",M5="O",M5="早",M5="午",M5="晚",M5="x",M5="X",M5=""),_xlfn.IFS(M5="M",9,M5="M8",5,M5="M9",9,M5="M10",8,M5="M15",7,M5="M16",8,M5="E",5,M5="E13",9,M5="E14",8,M5="E15",7,M5="E16",6,M5="A",10,M5="S",9,M5="O",0,M5="早",4.5,M5="午",4,M5="晚",4,M5="x",0,M5="X",0,M5="",0,TRUE,0),IF(ISNUMBER(FIND(" ",M5)),VALUE(MID(M5,FIND(" ",M5)+1,10))-VALUE(LEFT(M5,FIND(" ",M5)-1)),0))</f>
        <v>0</v>
      </c>
      <c r="N29" s="6" cm="1">
        <f t="array" ref="N29">IF(OR(N5="M",N5="M8",N5="M9",N5="M10",N5="M15",N5="M16",N5="E",N5="E13",N5="E14",N5="E15",N5="E16",N5="A",N5="S",N5="O",N5="早",N5="午",N5="晚",N5="x",N5="X",N5=""),_xlfn.IFS(N5="M",9,N5="M8",5,N5="M9",9,N5="M10",8,N5="M15",7,N5="M16",8,N5="E",5,N5="E13",9,N5="E14",8,N5="E15",7,N5="E16",6,N5="A",10,N5="S",9,N5="O",0,N5="早",4.5,N5="午",4,N5="晚",4,N5="x",0,N5="X",0,N5="",0,TRUE,0),IF(ISNUMBER(FIND(" ",N5)),VALUE(MID(N5,FIND(" ",N5)+1,10))-VALUE(LEFT(N5,FIND(" ",N5)-1)),0))</f>
        <v>5</v>
      </c>
      <c r="O29" s="6" cm="1">
        <f t="array" ref="O29">IF(OR(O5="M",O5="M8",O5="M9",O5="M10",O5="M15",O5="M16",O5="E",O5="E13",O5="E14",O5="E15",O5="E16",O5="A",O5="S",O5="O",O5="早",O5="午",O5="晚",O5="x",O5="X",O5=""),_xlfn.IFS(O5="M",9,O5="M8",5,O5="M9",9,O5="M10",8,O5="M15",7,O5="M16",8,O5="E",5,O5="E13",9,O5="E14",8,O5="E15",7,O5="E16",6,O5="A",10,O5="S",9,O5="O",0,O5="早",4.5,O5="午",4,O5="晚",4,O5="x",0,O5="X",0,O5="",0,TRUE,0),IF(ISNUMBER(FIND(" ",O5)),VALUE(MID(O5,FIND(" ",O5)+1,10))-VALUE(LEFT(O5,FIND(" ",O5)-1)),0))</f>
        <v>0</v>
      </c>
      <c r="P29" s="6" cm="1">
        <f t="array" ref="P29">IF(OR(P5="M",P5="M8",P5="M9",P5="M10",P5="M15",P5="M16",P5="E",P5="E13",P5="E14",P5="E15",P5="E16",P5="A",P5="S",P5="O",P5="早",P5="午",P5="晚",P5="x",P5="X",P5=""),_xlfn.IFS(P5="M",9,P5="M8",5,P5="M9",9,P5="M10",8,P5="M15",7,P5="M16",8,P5="E",5,P5="E13",9,P5="E14",8,P5="E15",7,P5="E16",6,P5="A",10,P5="S",9,P5="O",0,P5="早",4.5,P5="午",4,P5="晚",4,P5="x",0,P5="X",0,P5="",0,TRUE,0),IF(ISNUMBER(FIND(" ",P5)),VALUE(MID(P5,FIND(" ",P5)+1,10))-VALUE(LEFT(P5,FIND(" ",P5)-1)),0))</f>
        <v>5</v>
      </c>
      <c r="Q29" s="6" cm="1">
        <f t="array" ref="Q29">IF(OR(Q5="M",Q5="M8",Q5="M9",Q5="M10",Q5="M15",Q5="M16",Q5="E",Q5="E13",Q5="E14",Q5="E15",Q5="E16",Q5="A",Q5="S",Q5="O",Q5="早",Q5="午",Q5="晚",Q5="x",Q5="X",Q5=""),_xlfn.IFS(Q5="M",9,Q5="M8",5,Q5="M9",9,Q5="M10",8,Q5="M15",7,Q5="M16",8,Q5="E",5,Q5="E13",9,Q5="E14",8,Q5="E15",7,Q5="E16",6,Q5="A",10,Q5="S",9,Q5="O",0,Q5="早",4.5,Q5="午",4,Q5="晚",4,Q5="x",0,Q5="X",0,Q5="",0,TRUE,0),IF(ISNUMBER(FIND(" ",Q5)),VALUE(MID(Q5,FIND(" ",Q5)+1,10))-VALUE(LEFT(Q5,FIND(" ",Q5)-1)),0))</f>
        <v>0</v>
      </c>
      <c r="R29" s="6" cm="1">
        <f t="array" ref="R29">IF(OR(R5="M",R5="M8",R5="M9",R5="M10",R5="M15",R5="M16",R5="E",R5="E13",R5="E14",R5="E15",R5="E16",R5="A",R5="S",R5="O",R5="早",R5="午",R5="晚",R5="x",R5="X",R5=""),_xlfn.IFS(R5="M",9,R5="M8",5,R5="M9",9,R5="M10",8,R5="M15",7,R5="M16",8,R5="E",5,R5="E13",9,R5="E14",8,R5="E15",7,R5="E16",6,R5="A",10,R5="S",9,R5="O",0,R5="早",4.5,R5="午",4,R5="晚",4,R5="x",0,R5="X",0,R5="",0,TRUE,0),IF(ISNUMBER(FIND(" ",R5)),VALUE(MID(R5,FIND(" ",R5)+1,10))-VALUE(LEFT(R5,FIND(" ",R5)-1)),0))</f>
        <v>0</v>
      </c>
      <c r="S29" s="6" cm="1">
        <f t="array" ref="S29">IF(OR(S5="M",S5="M8",S5="M9",S5="M10",S5="M15",S5="M16",S5="E",S5="E13",S5="E14",S5="E15",S5="E16",S5="A",S5="S",S5="O",S5="早",S5="午",S5="晚",S5="x",S5="X",S5=""),_xlfn.IFS(S5="M",9,S5="M8",5,S5="M9",9,S5="M10",8,S5="M15",7,S5="M16",8,S5="E",5,S5="E13",9,S5="E14",8,S5="E15",7,S5="E16",6,S5="A",10,S5="S",9,S5="O",0,S5="早",4.5,S5="午",4,S5="晚",4,S5="x",0,S5="X",0,S5="",0,TRUE,0),IF(ISNUMBER(FIND(" ",S5)),VALUE(MID(S5,FIND(" ",S5)+1,10))-VALUE(LEFT(S5,FIND(" ",S5)-1)),0))</f>
        <v>9</v>
      </c>
      <c r="T29" s="6" cm="1">
        <f t="array" ref="T29">IF(OR(T5="M",T5="M8",T5="M9",T5="M10",T5="M15",T5="M16",T5="E",T5="E13",T5="E14",T5="E15",T5="E16",T5="A",T5="S",T5="O",T5="早",T5="午",T5="晚",T5="x",T5="X",T5=""),_xlfn.IFS(T5="M",9,T5="M8",5,T5="M9",9,T5="M10",8,T5="M15",7,T5="M16",8,T5="E",5,T5="E13",9,T5="E14",8,T5="E15",7,T5="E16",6,T5="A",10,T5="S",9,T5="O",0,T5="早",4.5,T5="午",4,T5="晚",4,T5="x",0,T5="X",0,T5="",0,TRUE,0),IF(ISNUMBER(FIND(" ",T5)),VALUE(MID(T5,FIND(" ",T5)+1,10))-VALUE(LEFT(T5,FIND(" ",T5)-1)),0))</f>
        <v>9</v>
      </c>
      <c r="U29" s="6" cm="1">
        <f t="array" ref="U29">IF(OR(U5="M",U5="M8",U5="M9",U5="M10",U5="M15",U5="M16",U5="E",U5="E13",U5="E14",U5="E15",U5="E16",U5="A",U5="S",U5="O",U5="早",U5="午",U5="晚",U5="x",U5="X",U5=""),_xlfn.IFS(U5="M",9,U5="M8",5,U5="M9",9,U5="M10",8,U5="M15",7,U5="M16",8,U5="E",5,U5="E13",9,U5="E14",8,U5="E15",7,U5="E16",6,U5="A",10,U5="S",9,U5="O",0,U5="早",4.5,U5="午",4,U5="晚",4,U5="x",0,U5="X",0,U5="",0,TRUE,0),IF(ISNUMBER(FIND(" ",U5)),VALUE(MID(U5,FIND(" ",U5)+1,10))-VALUE(LEFT(U5,FIND(" ",U5)-1)),0))</f>
        <v>0</v>
      </c>
      <c r="V29" s="6" cm="1">
        <f t="array" ref="V29">IF(OR(V5="M",V5="M8",V5="M9",V5="M10",V5="M15",V5="M16",V5="E",V5="E13",V5="E14",V5="E15",V5="E16",V5="A",V5="S",V5="O",V5="早",V5="午",V5="晚",V5="x",V5="X",V5=""),_xlfn.IFS(V5="M",9,V5="M8",5,V5="M9",9,V5="M10",8,V5="M15",7,V5="M16",8,V5="E",5,V5="E13",9,V5="E14",8,V5="E15",7,V5="E16",6,V5="A",10,V5="S",9,V5="O",0,V5="早",4.5,V5="午",4,V5="晚",4,V5="x",0,V5="X",0,V5="",0,TRUE,0),IF(ISNUMBER(FIND(" ",V5)),VALUE(MID(V5,FIND(" ",V5)+1,10))-VALUE(LEFT(V5,FIND(" ",V5)-1)),0))</f>
        <v>0</v>
      </c>
      <c r="W29" s="6" cm="1">
        <f t="array" ref="W29">IF(OR(W5="M",W5="M8",W5="M9",W5="M10",W5="M15",W5="M16",W5="E",W5="E13",W5="E14",W5="E15",W5="E16",W5="A",W5="S",W5="O",W5="早",W5="午",W5="晚",W5="x",W5="X",W5=""),_xlfn.IFS(W5="M",9,W5="M8",5,W5="M9",9,W5="M10",8,W5="M15",7,W5="M16",8,W5="E",5,W5="E13",9,W5="E14",8,W5="E15",7,W5="E16",6,W5="A",10,W5="S",9,W5="O",0,W5="早",4.5,W5="午",4,W5="晚",4,W5="x",0,W5="X",0,W5="",0,TRUE,0),IF(ISNUMBER(FIND(" ",W5)),VALUE(MID(W5,FIND(" ",W5)+1,10))-VALUE(LEFT(W5,FIND(" ",W5)-1)),0))</f>
        <v>9</v>
      </c>
      <c r="X29" s="6" cm="1">
        <f t="array" ref="X29">IF(OR(X5="M",X5="M8",X5="M9",X5="M10",X5="M15",X5="M16",X5="E",X5="E13",X5="E14",X5="E15",X5="E16",X5="A",X5="S",X5="O",X5="早",X5="午",X5="晚",X5="x",X5="X",X5=""),_xlfn.IFS(X5="M",9,X5="M8",5,X5="M9",9,X5="M10",8,X5="M15",7,X5="M16",8,X5="E",5,X5="E13",9,X5="E14",8,X5="E15",7,X5="E16",6,X5="A",10,X5="S",9,X5="O",0,X5="早",4.5,X5="午",4,X5="晚",4,X5="x",0,X5="X",0,X5="",0,TRUE,0),IF(ISNUMBER(FIND(" ",X5)),VALUE(MID(X5,FIND(" ",X5)+1,10))-VALUE(LEFT(X5,FIND(" ",X5)-1)),0))</f>
        <v>9</v>
      </c>
      <c r="Y29" s="6" cm="1">
        <f t="array" ref="Y29">IF(OR(Y5="M",Y5="M8",Y5="M9",Y5="M10",Y5="M15",Y5="M16",Y5="E",Y5="E13",Y5="E14",Y5="E15",Y5="E16",Y5="A",Y5="S",Y5="O",Y5="早",Y5="午",Y5="晚",Y5="x",Y5="X",Y5=""),_xlfn.IFS(Y5="M",9,Y5="M8",5,Y5="M9",9,Y5="M10",8,Y5="M15",7,Y5="M16",8,Y5="E",5,Y5="E13",9,Y5="E14",8,Y5="E15",7,Y5="E16",6,Y5="A",10,Y5="S",9,Y5="O",0,Y5="早",4.5,Y5="午",4,Y5="晚",4,Y5="x",0,Y5="X",0,Y5="",0,TRUE,0),IF(ISNUMBER(FIND(" ",Y5)),VALUE(MID(Y5,FIND(" ",Y5)+1,10))-VALUE(LEFT(Y5,FIND(" ",Y5)-1)),0))</f>
        <v>5</v>
      </c>
      <c r="Z29" s="6" cm="1">
        <f t="array" ref="Z29">IF(OR(Z5="M",Z5="M8",Z5="M9",Z5="M10",Z5="M15",Z5="M16",Z5="E",Z5="E13",Z5="E14",Z5="E15",Z5="E16",Z5="A",Z5="S",Z5="O",Z5="早",Z5="午",Z5="晚",Z5="x",Z5="X",Z5=""),_xlfn.IFS(Z5="M",9,Z5="M8",5,Z5="M9",9,Z5="M10",8,Z5="M15",7,Z5="M16",8,Z5="E",5,Z5="E13",9,Z5="E14",8,Z5="E15",7,Z5="E16",6,Z5="A",10,Z5="S",9,Z5="O",0,Z5="早",4.5,Z5="午",4,Z5="晚",4,Z5="x",0,Z5="X",0,Z5="",0,TRUE,0),IF(ISNUMBER(FIND(" ",Z5)),VALUE(MID(Z5,FIND(" ",Z5)+1,10))-VALUE(LEFT(Z5,FIND(" ",Z5)-1)),0))</f>
        <v>0</v>
      </c>
      <c r="AA29" s="6" cm="1">
        <f t="array" ref="AA29">IF(OR(AA5="M",AA5="M8",AA5="M9",AA5="M10",AA5="M15",AA5="M16",AA5="E",AA5="E13",AA5="E14",AA5="E15",AA5="E16",AA5="A",AA5="S",AA5="O",AA5="早",AA5="午",AA5="晚",AA5="x",AA5="X",AA5=""),_xlfn.IFS(AA5="M",9,AA5="M8",5,AA5="M9",9,AA5="M10",8,AA5="M15",7,AA5="M16",8,AA5="E",5,AA5="E13",9,AA5="E14",8,AA5="E15",7,AA5="E16",6,AA5="A",10,AA5="S",9,AA5="O",0,AA5="早",4.5,AA5="午",4,AA5="晚",4,AA5="x",0,AA5="X",0,AA5="",0,TRUE,0),IF(ISNUMBER(FIND(" ",AA5)),VALUE(MID(AA5,FIND(" ",AA5)+1,10))-VALUE(LEFT(AA5,FIND(" ",AA5)-1)),0))</f>
        <v>9</v>
      </c>
      <c r="AB29" s="6" cm="1">
        <f t="array" ref="AB29">IF(OR(AB5="M",AB5="M8",AB5="M9",AB5="M10",AB5="M15",AB5="M16",AB5="E",AB5="E13",AB5="E14",AB5="E15",AB5="E16",AB5="A",AB5="S",AB5="O",AB5="早",AB5="午",AB5="晚",AB5="x",AB5="X",AB5=""),_xlfn.IFS(AB5="M",9,AB5="M8",5,AB5="M9",9,AB5="M10",8,AB5="M15",7,AB5="M16",8,AB5="E",5,AB5="E13",9,AB5="E14",8,AB5="E15",7,AB5="E16",6,AB5="A",10,AB5="S",9,AB5="O",0,AB5="早",4.5,AB5="午",4,AB5="晚",4,AB5="x",0,AB5="X",0,AB5="",0,TRUE,0),IF(ISNUMBER(FIND(" ",AB5)),VALUE(MID(AB5,FIND(" ",AB5)+1,10))-VALUE(LEFT(AB5,FIND(" ",AB5)-1)),0))</f>
        <v>5</v>
      </c>
      <c r="AC29" s="6" cm="1">
        <f t="array" ref="AC29">IF(OR(AC5="M",AC5="M8",AC5="M9",AC5="M10",AC5="M15",AC5="M16",AC5="E",AC5="E13",AC5="E14",AC5="E15",AC5="E16",AC5="A",AC5="S",AC5="O",AC5="早",AC5="午",AC5="晚",AC5="x",AC5="X",AC5=""),_xlfn.IFS(AC5="M",9,AC5="M8",5,AC5="M9",9,AC5="M10",8,AC5="M15",7,AC5="M16",8,AC5="E",5,AC5="E13",9,AC5="E14",8,AC5="E15",7,AC5="E16",6,AC5="A",10,AC5="S",9,AC5="O",0,AC5="早",4.5,AC5="午",4,AC5="晚",4,AC5="x",0,AC5="X",0,AC5="",0,TRUE,0),IF(ISNUMBER(FIND(" ",AC5)),VALUE(MID(AC5,FIND(" ",AC5)+1,10))-VALUE(LEFT(AC5,FIND(" ",AC5)-1)),0))</f>
        <v>0</v>
      </c>
      <c r="AD29" s="6" cm="1">
        <f t="array" ref="AD29">IF(OR(AD5="M",AD5="M8",AD5="M9",AD5="M10",AD5="M15",AD5="M16",AD5="E",AD5="E13",AD5="E14",AD5="E15",AD5="E16",AD5="A",AD5="S",AD5="O",AD5="早",AD5="午",AD5="晚",AD5="x",AD5="X",AD5=""),_xlfn.IFS(AD5="M",9,AD5="M8",5,AD5="M9",9,AD5="M10",8,AD5="M15",7,AD5="M16",8,AD5="E",5,AD5="E13",9,AD5="E14",8,AD5="E15",7,AD5="E16",6,AD5="A",10,AD5="S",9,AD5="O",0,AD5="早",4.5,AD5="午",4,AD5="晚",4,AD5="x",0,AD5="X",0,AD5="",0,TRUE,0),IF(ISNUMBER(FIND(" ",AD5)),VALUE(MID(AD5,FIND(" ",AD5)+1,10))-VALUE(LEFT(AD5,FIND(" ",AD5)-1)),0))</f>
        <v>5</v>
      </c>
      <c r="AE29" s="6" cm="1">
        <f t="array" ref="AE29">IF(OR(AE5="M",AE5="M8",AE5="M9",AE5="M10",AE5="M15",AE5="M16",AE5="E",AE5="E13",AE5="E14",AE5="E15",AE5="E16",AE5="A",AE5="S",AE5="O",AE5="早",AE5="午",AE5="晚",AE5="x",AE5="X",AE5=""),_xlfn.IFS(AE5="M",9,AE5="M8",5,AE5="M9",9,AE5="M10",8,AE5="M15",7,AE5="M16",8,AE5="E",5,AE5="E13",9,AE5="E14",8,AE5="E15",7,AE5="E16",6,AE5="A",10,AE5="S",9,AE5="O",0,AE5="早",4.5,AE5="午",4,AE5="晚",4,AE5="x",0,AE5="X",0,AE5="",0,TRUE,0),IF(ISNUMBER(FIND(" ",AE5)),VALUE(MID(AE5,FIND(" ",AE5)+1,10))-VALUE(LEFT(AE5,FIND(" ",AE5)-1)),0))</f>
        <v>5</v>
      </c>
      <c r="AF29" s="6" cm="1">
        <f t="array" ref="AF29">IF(OR(AF5="M",AF5="M8",AF5="M9",AF5="M10",AF5="M15",AF5="M16",AF5="E",AF5="E13",AF5="E14",AF5="E15",AF5="E16",AF5="A",AF5="S",AF5="O",AF5="早",AF5="午",AF5="晚",AF5="x",AF5="X",AF5=""),_xlfn.IFS(AF5="M",9,AF5="M8",5,AF5="M9",9,AF5="M10",8,AF5="M15",7,AF5="M16",8,AF5="E",5,AF5="E13",9,AF5="E14",8,AF5="E15",7,AF5="E16",6,AF5="A",10,AF5="S",9,AF5="O",0,AF5="早",4.5,AF5="午",4,AF5="晚",4,AF5="x",0,AF5="X",0,AF5="",0,TRUE,0),IF(ISNUMBER(FIND(" ",AF5)),VALUE(MID(AF5,FIND(" ",AF5)+1,10))-VALUE(LEFT(AF5,FIND(" ",AF5)-1)),0))</f>
        <v>0</v>
      </c>
      <c r="AG29" s="6">
        <f t="shared" si="3"/>
        <v>136</v>
      </c>
    </row>
    <row r="30" spans="1:33">
      <c r="A30" s="9" t="s">
        <v>52</v>
      </c>
      <c r="B30" s="6" cm="1">
        <f t="array" ref="B30">IF(OR(B6="M",B6="M8",B6="M9",B6="M10",B6="M15",B6="M16",B6="E",B6="E13",B6="E14",B6="E15",B6="E16",B6="A",B6="S",B6="O",B6="早",B6="午",B6="晚",B6="x",B6="X",B6=""),_xlfn.IFS(B6="M",9,B6="M8",5,B6="M9",9,B6="M10",8,B6="M15",7,B6="M16",8,B6="E",5,B6="E13",9,B6="E14",8,B6="E15",7,B6="E16",6,B6="A",10,B6="S",9,B6="O",0,B6="早",4.5,B6="午",4,B6="晚",4,B6="x",0,B6="X",0,B6="",0,TRUE,0),IF(ISNUMBER(FIND(" ",B6)),VALUE(MID(B6,FIND(" ",B6)+1,10))-VALUE(LEFT(B6,FIND(" ",B6)-1)),0))</f>
        <v>5</v>
      </c>
      <c r="C30" s="6" cm="1">
        <f t="array" ref="C30">IF(OR(C6="M",C6="M8",C6="M9",C6="M10",C6="M15",C6="M16",C6="E",C6="E13",C6="E14",C6="E15",C6="E16",C6="A",C6="S",C6="O",C6="早",C6="午",C6="晚",C6="x",C6="X",C6=""),_xlfn.IFS(C6="M",9,C6="M8",5,C6="M9",9,C6="M10",8,C6="M15",7,C6="M16",8,C6="E",5,C6="E13",9,C6="E14",8,C6="E15",7,C6="E16",6,C6="A",10,C6="S",9,C6="O",0,C6="早",4.5,C6="午",4,C6="晚",4,C6="x",0,C6="X",0,C6="",0,TRUE,0),IF(ISNUMBER(FIND(" ",C6)),VALUE(MID(C6,FIND(" ",C6)+1,10))-VALUE(LEFT(C6,FIND(" ",C6)-1)),0))</f>
        <v>9</v>
      </c>
      <c r="D30" s="6" cm="1">
        <f t="array" ref="D30">IF(OR(D6="M",D6="M8",D6="M9",D6="M10",D6="M15",D6="M16",D6="E",D6="E13",D6="E14",D6="E15",D6="E16",D6="A",D6="S",D6="O",D6="早",D6="午",D6="晚",D6="x",D6="X",D6=""),_xlfn.IFS(D6="M",9,D6="M8",5,D6="M9",9,D6="M10",8,D6="M15",7,D6="M16",8,D6="E",5,D6="E13",9,D6="E14",8,D6="E15",7,D6="E16",6,D6="A",10,D6="S",9,D6="O",0,D6="早",4.5,D6="午",4,D6="晚",4,D6="x",0,D6="X",0,D6="",0,TRUE,0),IF(ISNUMBER(FIND(" ",D6)),VALUE(MID(D6,FIND(" ",D6)+1,10))-VALUE(LEFT(D6,FIND(" ",D6)-1)),0))</f>
        <v>0</v>
      </c>
      <c r="E30" s="6" cm="1">
        <f t="array" ref="E30">IF(OR(E6="M",E6="M8",E6="M9",E6="M10",E6="M15",E6="M16",E6="E",E6="E13",E6="E14",E6="E15",E6="E16",E6="A",E6="S",E6="O",E6="早",E6="午",E6="晚",E6="x",E6="X",E6=""),_xlfn.IFS(E6="M",9,E6="M8",5,E6="M9",9,E6="M10",8,E6="M15",7,E6="M16",8,E6="E",5,E6="E13",9,E6="E14",8,E6="E15",7,E6="E16",6,E6="A",10,E6="S",9,E6="O",0,E6="早",4.5,E6="午",4,E6="晚",4,E6="x",0,E6="X",0,E6="",0,TRUE,0),IF(ISNUMBER(FIND(" ",E6)),VALUE(MID(E6,FIND(" ",E6)+1,10))-VALUE(LEFT(E6,FIND(" ",E6)-1)),0))</f>
        <v>0</v>
      </c>
      <c r="F30" s="6" cm="1">
        <f t="array" ref="F30">IF(OR(F6="M",F6="M8",F6="M9",F6="M10",F6="M15",F6="M16",F6="E",F6="E13",F6="E14",F6="E15",F6="E16",F6="A",F6="S",F6="O",F6="早",F6="午",F6="晚",F6="x",F6="X",F6=""),_xlfn.IFS(F6="M",9,F6="M8",5,F6="M9",9,F6="M10",8,F6="M15",7,F6="M16",8,F6="E",5,F6="E13",9,F6="E14",8,F6="E15",7,F6="E16",6,F6="A",10,F6="S",9,F6="O",0,F6="早",4.5,F6="午",4,F6="晚",4,F6="x",0,F6="X",0,F6="",0,TRUE,0),IF(ISNUMBER(FIND(" ",F6)),VALUE(MID(F6,FIND(" ",F6)+1,10))-VALUE(LEFT(F6,FIND(" ",F6)-1)),0))</f>
        <v>5</v>
      </c>
      <c r="G30" s="6" cm="1">
        <f t="array" ref="G30">IF(OR(G6="M",G6="M8",G6="M9",G6="M10",G6="M15",G6="M16",G6="E",G6="E13",G6="E14",G6="E15",G6="E16",G6="A",G6="S",G6="O",G6="早",G6="午",G6="晚",G6="x",G6="X",G6=""),_xlfn.IFS(G6="M",9,G6="M8",5,G6="M9",9,G6="M10",8,G6="M15",7,G6="M16",8,G6="E",5,G6="E13",9,G6="E14",8,G6="E15",7,G6="E16",6,G6="A",10,G6="S",9,G6="O",0,G6="早",4.5,G6="午",4,G6="晚",4,G6="x",0,G6="X",0,G6="",0,TRUE,0),IF(ISNUMBER(FIND(" ",G6)),VALUE(MID(G6,FIND(" ",G6)+1,10))-VALUE(LEFT(G6,FIND(" ",G6)-1)),0))</f>
        <v>9</v>
      </c>
      <c r="H30" s="6" cm="1">
        <f t="array" ref="H30">IF(OR(H6="M",H6="M8",H6="M9",H6="M10",H6="M15",H6="M16",H6="E",H6="E13",H6="E14",H6="E15",H6="E16",H6="A",H6="S",H6="O",H6="早",H6="午",H6="晚",H6="x",H6="X",H6=""),_xlfn.IFS(H6="M",9,H6="M8",5,H6="M9",9,H6="M10",8,H6="M15",7,H6="M16",8,H6="E",5,H6="E13",9,H6="E14",8,H6="E15",7,H6="E16",6,H6="A",10,H6="S",9,H6="O",0,H6="早",4.5,H6="午",4,H6="晚",4,H6="x",0,H6="X",0,H6="",0,TRUE,0),IF(ISNUMBER(FIND(" ",H6)),VALUE(MID(H6,FIND(" ",H6)+1,10))-VALUE(LEFT(H6,FIND(" ",H6)-1)),0))</f>
        <v>0</v>
      </c>
      <c r="I30" s="6" cm="1">
        <f t="array" ref="I30">IF(OR(I6="M",I6="M8",I6="M9",I6="M10",I6="M15",I6="M16",I6="E",I6="E13",I6="E14",I6="E15",I6="E16",I6="A",I6="S",I6="O",I6="早",I6="午",I6="晚",I6="x",I6="X",I6=""),_xlfn.IFS(I6="M",9,I6="M8",5,I6="M9",9,I6="M10",8,I6="M15",7,I6="M16",8,I6="E",5,I6="E13",9,I6="E14",8,I6="E15",7,I6="E16",6,I6="A",10,I6="S",9,I6="O",0,I6="早",4.5,I6="午",4,I6="晚",4,I6="x",0,I6="X",0,I6="",0,TRUE,0),IF(ISNUMBER(FIND(" ",I6)),VALUE(MID(I6,FIND(" ",I6)+1,10))-VALUE(LEFT(I6,FIND(" ",I6)-1)),0))</f>
        <v>9</v>
      </c>
      <c r="J30" s="6" cm="1">
        <f t="array" ref="J30">IF(OR(J6="M",J6="M8",J6="M9",J6="M10",J6="M15",J6="M16",J6="E",J6="E13",J6="E14",J6="E15",J6="E16",J6="A",J6="S",J6="O",J6="早",J6="午",J6="晚",J6="x",J6="X",J6=""),_xlfn.IFS(J6="M",9,J6="M8",5,J6="M9",9,J6="M10",8,J6="M15",7,J6="M16",8,J6="E",5,J6="E13",9,J6="E14",8,J6="E15",7,J6="E16",6,J6="A",10,J6="S",9,J6="O",0,J6="早",4.5,J6="午",4,J6="晚",4,J6="x",0,J6="X",0,J6="",0,TRUE,0),IF(ISNUMBER(FIND(" ",J6)),VALUE(MID(J6,FIND(" ",J6)+1,10))-VALUE(LEFT(J6,FIND(" ",J6)-1)),0))</f>
        <v>9</v>
      </c>
      <c r="K30" s="6" cm="1">
        <f t="array" ref="K30">IF(OR(K6="M",K6="M8",K6="M9",K6="M10",K6="M15",K6="M16",K6="E",K6="E13",K6="E14",K6="E15",K6="E16",K6="A",K6="S",K6="O",K6="早",K6="午",K6="晚",K6="x",K6="X",K6=""),_xlfn.IFS(K6="M",9,K6="M8",5,K6="M9",9,K6="M10",8,K6="M15",7,K6="M16",8,K6="E",5,K6="E13",9,K6="E14",8,K6="E15",7,K6="E16",6,K6="A",10,K6="S",9,K6="O",0,K6="早",4.5,K6="午",4,K6="晚",4,K6="x",0,K6="X",0,K6="",0,TRUE,0),IF(ISNUMBER(FIND(" ",K6)),VALUE(MID(K6,FIND(" ",K6)+1,10))-VALUE(LEFT(K6,FIND(" ",K6)-1)),0))</f>
        <v>5</v>
      </c>
      <c r="L30" s="6" cm="1">
        <f t="array" ref="L30">IF(OR(L6="M",L6="M8",L6="M9",L6="M10",L6="M15",L6="M16",L6="E",L6="E13",L6="E14",L6="E15",L6="E16",L6="A",L6="S",L6="O",L6="早",L6="午",L6="晚",L6="x",L6="X",L6=""),_xlfn.IFS(L6="M",9,L6="M8",5,L6="M9",9,L6="M10",8,L6="M15",7,L6="M16",8,L6="E",5,L6="E13",9,L6="E14",8,L6="E15",7,L6="E16",6,L6="A",10,L6="S",9,L6="O",0,L6="早",4.5,L6="午",4,L6="晚",4,L6="x",0,L6="X",0,L6="",0,TRUE,0),IF(ISNUMBER(FIND(" ",L6)),VALUE(MID(L6,FIND(" ",L6)+1,10))-VALUE(LEFT(L6,FIND(" ",L6)-1)),0))</f>
        <v>0</v>
      </c>
      <c r="M30" s="6" cm="1">
        <f t="array" ref="M30">IF(OR(M6="M",M6="M8",M6="M9",M6="M10",M6="M15",M6="M16",M6="E",M6="E13",M6="E14",M6="E15",M6="E16",M6="A",M6="S",M6="O",M6="早",M6="午",M6="晚",M6="x",M6="X",M6=""),_xlfn.IFS(M6="M",9,M6="M8",5,M6="M9",9,M6="M10",8,M6="M15",7,M6="M16",8,M6="E",5,M6="E13",9,M6="E14",8,M6="E15",7,M6="E16",6,M6="A",10,M6="S",9,M6="O",0,M6="早",4.5,M6="午",4,M6="晚",4,M6="x",0,M6="X",0,M6="",0,TRUE,0),IF(ISNUMBER(FIND(" ",M6)),VALUE(MID(M6,FIND(" ",M6)+1,10))-VALUE(LEFT(M6,FIND(" ",M6)-1)),0))</f>
        <v>9</v>
      </c>
      <c r="N30" s="6" cm="1">
        <f t="array" ref="N30">IF(OR(N6="M",N6="M8",N6="M9",N6="M10",N6="M15",N6="M16",N6="E",N6="E13",N6="E14",N6="E15",N6="E16",N6="A",N6="S",N6="O",N6="早",N6="午",N6="晚",N6="x",N6="X",N6=""),_xlfn.IFS(N6="M",9,N6="M8",5,N6="M9",9,N6="M10",8,N6="M15",7,N6="M16",8,N6="E",5,N6="E13",9,N6="E14",8,N6="E15",7,N6="E16",6,N6="A",10,N6="S",9,N6="O",0,N6="早",4.5,N6="午",4,N6="晚",4,N6="x",0,N6="X",0,N6="",0,TRUE,0),IF(ISNUMBER(FIND(" ",N6)),VALUE(MID(N6,FIND(" ",N6)+1,10))-VALUE(LEFT(N6,FIND(" ",N6)-1)),0))</f>
        <v>9</v>
      </c>
      <c r="O30" s="6" cm="1">
        <f t="array" ref="O30">IF(OR(O6="M",O6="M8",O6="M9",O6="M10",O6="M15",O6="M16",O6="E",O6="E13",O6="E14",O6="E15",O6="E16",O6="A",O6="S",O6="O",O6="早",O6="午",O6="晚",O6="x",O6="X",O6=""),_xlfn.IFS(O6="M",9,O6="M8",5,O6="M9",9,O6="M10",8,O6="M15",7,O6="M16",8,O6="E",5,O6="E13",9,O6="E14",8,O6="E15",7,O6="E16",6,O6="A",10,O6="S",9,O6="O",0,O6="早",4.5,O6="午",4,O6="晚",4,O6="x",0,O6="X",0,O6="",0,TRUE,0),IF(ISNUMBER(FIND(" ",O6)),VALUE(MID(O6,FIND(" ",O6)+1,10))-VALUE(LEFT(O6,FIND(" ",O6)-1)),0))</f>
        <v>10</v>
      </c>
      <c r="P30" s="6" cm="1">
        <f t="array" ref="P30">IF(OR(P6="M",P6="M8",P6="M9",P6="M10",P6="M15",P6="M16",P6="E",P6="E13",P6="E14",P6="E15",P6="E16",P6="A",P6="S",P6="O",P6="早",P6="午",P6="晚",P6="x",P6="X",P6=""),_xlfn.IFS(P6="M",9,P6="M8",5,P6="M9",9,P6="M10",8,P6="M15",7,P6="M16",8,P6="E",5,P6="E13",9,P6="E14",8,P6="E15",7,P6="E16",6,P6="A",10,P6="S",9,P6="O",0,P6="早",4.5,P6="午",4,P6="晚",4,P6="x",0,P6="X",0,P6="",0,TRUE,0),IF(ISNUMBER(FIND(" ",P6)),VALUE(MID(P6,FIND(" ",P6)+1,10))-VALUE(LEFT(P6,FIND(" ",P6)-1)),0))</f>
        <v>0</v>
      </c>
      <c r="Q30" s="6" cm="1">
        <f t="array" ref="Q30">IF(OR(Q6="M",Q6="M8",Q6="M9",Q6="M10",Q6="M15",Q6="M16",Q6="E",Q6="E13",Q6="E14",Q6="E15",Q6="E16",Q6="A",Q6="S",Q6="O",Q6="早",Q6="午",Q6="晚",Q6="x",Q6="X",Q6=""),_xlfn.IFS(Q6="M",9,Q6="M8",5,Q6="M9",9,Q6="M10",8,Q6="M15",7,Q6="M16",8,Q6="E",5,Q6="E13",9,Q6="E14",8,Q6="E15",7,Q6="E16",6,Q6="A",10,Q6="S",9,Q6="O",0,Q6="早",4.5,Q6="午",4,Q6="晚",4,Q6="x",0,Q6="X",0,Q6="",0,TRUE,0),IF(ISNUMBER(FIND(" ",Q6)),VALUE(MID(Q6,FIND(" ",Q6)+1,10))-VALUE(LEFT(Q6,FIND(" ",Q6)-1)),0))</f>
        <v>9</v>
      </c>
      <c r="R30" s="6" cm="1">
        <f t="array" ref="R30">IF(OR(R6="M",R6="M8",R6="M9",R6="M10",R6="M15",R6="M16",R6="E",R6="E13",R6="E14",R6="E15",R6="E16",R6="A",R6="S",R6="O",R6="早",R6="午",R6="晚",R6="x",R6="X",R6=""),_xlfn.IFS(R6="M",9,R6="M8",5,R6="M9",9,R6="M10",8,R6="M15",7,R6="M16",8,R6="E",5,R6="E13",9,R6="E14",8,R6="E15",7,R6="E16",6,R6="A",10,R6="S",9,R6="O",0,R6="早",4.5,R6="午",4,R6="晚",4,R6="x",0,R6="X",0,R6="",0,TRUE,0),IF(ISNUMBER(FIND(" ",R6)),VALUE(MID(R6,FIND(" ",R6)+1,10))-VALUE(LEFT(R6,FIND(" ",R6)-1)),0))</f>
        <v>5</v>
      </c>
      <c r="S30" s="6" cm="1">
        <f t="array" ref="S30">IF(OR(S6="M",S6="M8",S6="M9",S6="M10",S6="M15",S6="M16",S6="E",S6="E13",S6="E14",S6="E15",S6="E16",S6="A",S6="S",S6="O",S6="早",S6="午",S6="晚",S6="x",S6="X",S6=""),_xlfn.IFS(S6="M",9,S6="M8",5,S6="M9",9,S6="M10",8,S6="M15",7,S6="M16",8,S6="E",5,S6="E13",9,S6="E14",8,S6="E15",7,S6="E16",6,S6="A",10,S6="S",9,S6="O",0,S6="早",4.5,S6="午",4,S6="晚",4,S6="x",0,S6="X",0,S6="",0,TRUE,0),IF(ISNUMBER(FIND(" ",S6)),VALUE(MID(S6,FIND(" ",S6)+1,10))-VALUE(LEFT(S6,FIND(" ",S6)-1)),0))</f>
        <v>0</v>
      </c>
      <c r="T30" s="6" cm="1">
        <f t="array" ref="T30">IF(OR(T6="M",T6="M8",T6="M9",T6="M10",T6="M15",T6="M16",T6="E",T6="E13",T6="E14",T6="E15",T6="E16",T6="A",T6="S",T6="O",T6="早",T6="午",T6="晚",T6="x",T6="X",T6=""),_xlfn.IFS(T6="M",9,T6="M8",5,T6="M9",9,T6="M10",8,T6="M15",7,T6="M16",8,T6="E",5,T6="E13",9,T6="E14",8,T6="E15",7,T6="E16",6,T6="A",10,T6="S",9,T6="O",0,T6="早",4.5,T6="午",4,T6="晚",4,T6="x",0,T6="X",0,T6="",0,TRUE,0),IF(ISNUMBER(FIND(" ",T6)),VALUE(MID(T6,FIND(" ",T6)+1,10))-VALUE(LEFT(T6,FIND(" ",T6)-1)),0))</f>
        <v>5</v>
      </c>
      <c r="U30" s="6" cm="1">
        <f t="array" ref="U30">IF(OR(U6="M",U6="M8",U6="M9",U6="M10",U6="M15",U6="M16",U6="E",U6="E13",U6="E14",U6="E15",U6="E16",U6="A",U6="S",U6="O",U6="早",U6="午",U6="晚",U6="x",U6="X",U6=""),_xlfn.IFS(U6="M",9,U6="M8",5,U6="M9",9,U6="M10",8,U6="M15",7,U6="M16",8,U6="E",5,U6="E13",9,U6="E14",8,U6="E15",7,U6="E16",6,U6="A",10,U6="S",9,U6="O",0,U6="早",4.5,U6="午",4,U6="晚",4,U6="x",0,U6="X",0,U6="",0,TRUE,0),IF(ISNUMBER(FIND(" ",U6)),VALUE(MID(U6,FIND(" ",U6)+1,10))-VALUE(LEFT(U6,FIND(" ",U6)-1)),0))</f>
        <v>5</v>
      </c>
      <c r="V30" s="6" cm="1">
        <f t="array" ref="V30">IF(OR(V6="M",V6="M8",V6="M9",V6="M10",V6="M15",V6="M16",V6="E",V6="E13",V6="E14",V6="E15",V6="E16",V6="A",V6="S",V6="O",V6="早",V6="午",V6="晚",V6="x",V6="X",V6=""),_xlfn.IFS(V6="M",9,V6="M8",5,V6="M9",9,V6="M10",8,V6="M15",7,V6="M16",8,V6="E",5,V6="E13",9,V6="E14",8,V6="E15",7,V6="E16",6,V6="A",10,V6="S",9,V6="O",0,V6="早",4.5,V6="午",4,V6="晚",4,V6="x",0,V6="X",0,V6="",0,TRUE,0),IF(ISNUMBER(FIND(" ",V6)),VALUE(MID(V6,FIND(" ",V6)+1,10))-VALUE(LEFT(V6,FIND(" ",V6)-1)),0))</f>
        <v>0</v>
      </c>
      <c r="W30" s="6" cm="1">
        <f t="array" ref="W30">IF(OR(W6="M",W6="M8",W6="M9",W6="M10",W6="M15",W6="M16",W6="E",W6="E13",W6="E14",W6="E15",W6="E16",W6="A",W6="S",W6="O",W6="早",W6="午",W6="晚",W6="x",W6="X",W6=""),_xlfn.IFS(W6="M",9,W6="M8",5,W6="M9",9,W6="M10",8,W6="M15",7,W6="M16",8,W6="E",5,W6="E13",9,W6="E14",8,W6="E15",7,W6="E16",6,W6="A",10,W6="S",9,W6="O",0,W6="早",4.5,W6="午",4,W6="晚",4,W6="x",0,W6="X",0,W6="",0,TRUE,0),IF(ISNUMBER(FIND(" ",W6)),VALUE(MID(W6,FIND(" ",W6)+1,10))-VALUE(LEFT(W6,FIND(" ",W6)-1)),0))</f>
        <v>9</v>
      </c>
      <c r="X30" s="6" cm="1">
        <f t="array" ref="X30">IF(OR(X6="M",X6="M8",X6="M9",X6="M10",X6="M15",X6="M16",X6="E",X6="E13",X6="E14",X6="E15",X6="E16",X6="A",X6="S",X6="O",X6="早",X6="午",X6="晚",X6="x",X6="X",X6=""),_xlfn.IFS(X6="M",9,X6="M8",5,X6="M9",9,X6="M10",8,X6="M15",7,X6="M16",8,X6="E",5,X6="E13",9,X6="E14",8,X6="E15",7,X6="E16",6,X6="A",10,X6="S",9,X6="O",0,X6="早",4.5,X6="午",4,X6="晚",4,X6="x",0,X6="X",0,X6="",0,TRUE,0),IF(ISNUMBER(FIND(" ",X6)),VALUE(MID(X6,FIND(" ",X6)+1,10))-VALUE(LEFT(X6,FIND(" ",X6)-1)),0))</f>
        <v>0</v>
      </c>
      <c r="Y30" s="6" cm="1">
        <f t="array" ref="Y30">IF(OR(Y6="M",Y6="M8",Y6="M9",Y6="M10",Y6="M15",Y6="M16",Y6="E",Y6="E13",Y6="E14",Y6="E15",Y6="E16",Y6="A",Y6="S",Y6="O",Y6="早",Y6="午",Y6="晚",Y6="x",Y6="X",Y6=""),_xlfn.IFS(Y6="M",9,Y6="M8",5,Y6="M9",9,Y6="M10",8,Y6="M15",7,Y6="M16",8,Y6="E",5,Y6="E13",9,Y6="E14",8,Y6="E15",7,Y6="E16",6,Y6="A",10,Y6="S",9,Y6="O",0,Y6="早",4.5,Y6="午",4,Y6="晚",4,Y6="x",0,Y6="X",0,Y6="",0,TRUE,0),IF(ISNUMBER(FIND(" ",Y6)),VALUE(MID(Y6,FIND(" ",Y6)+1,10))-VALUE(LEFT(Y6,FIND(" ",Y6)-1)),0))</f>
        <v>9</v>
      </c>
      <c r="Z30" s="6" cm="1">
        <f t="array" ref="Z30">IF(OR(Z6="M",Z6="M8",Z6="M9",Z6="M10",Z6="M15",Z6="M16",Z6="E",Z6="E13",Z6="E14",Z6="E15",Z6="E16",Z6="A",Z6="S",Z6="O",Z6="早",Z6="午",Z6="晚",Z6="x",Z6="X",Z6=""),_xlfn.IFS(Z6="M",9,Z6="M8",5,Z6="M9",9,Z6="M10",8,Z6="M15",7,Z6="M16",8,Z6="E",5,Z6="E13",9,Z6="E14",8,Z6="E15",7,Z6="E16",6,Z6="A",10,Z6="S",9,Z6="O",0,Z6="早",4.5,Z6="午",4,Z6="晚",4,Z6="x",0,Z6="X",0,Z6="",0,TRUE,0),IF(ISNUMBER(FIND(" ",Z6)),VALUE(MID(Z6,FIND(" ",Z6)+1,10))-VALUE(LEFT(Z6,FIND(" ",Z6)-1)),0))</f>
        <v>9</v>
      </c>
      <c r="AA30" s="6" cm="1">
        <f t="array" ref="AA30">IF(OR(AA6="M",AA6="M8",AA6="M9",AA6="M10",AA6="M15",AA6="M16",AA6="E",AA6="E13",AA6="E14",AA6="E15",AA6="E16",AA6="A",AA6="S",AA6="O",AA6="早",AA6="午",AA6="晚",AA6="x",AA6="X",AA6=""),_xlfn.IFS(AA6="M",9,AA6="M8",5,AA6="M9",9,AA6="M10",8,AA6="M15",7,AA6="M16",8,AA6="E",5,AA6="E13",9,AA6="E14",8,AA6="E15",7,AA6="E16",6,AA6="A",10,AA6="S",9,AA6="O",0,AA6="早",4.5,AA6="午",4,AA6="晚",4,AA6="x",0,AA6="X",0,AA6="",0,TRUE,0),IF(ISNUMBER(FIND(" ",AA6)),VALUE(MID(AA6,FIND(" ",AA6)+1,10))-VALUE(LEFT(AA6,FIND(" ",AA6)-1)),0))</f>
        <v>9</v>
      </c>
      <c r="AB30" s="6" cm="1">
        <f t="array" ref="AB30">IF(OR(AB6="M",AB6="M8",AB6="M9",AB6="M10",AB6="M15",AB6="M16",AB6="E",AB6="E13",AB6="E14",AB6="E15",AB6="E16",AB6="A",AB6="S",AB6="O",AB6="早",AB6="午",AB6="晚",AB6="x",AB6="X",AB6=""),_xlfn.IFS(AB6="M",9,AB6="M8",5,AB6="M9",9,AB6="M10",8,AB6="M15",7,AB6="M16",8,AB6="E",5,AB6="E13",9,AB6="E14",8,AB6="E15",7,AB6="E16",6,AB6="A",10,AB6="S",9,AB6="O",0,AB6="早",4.5,AB6="午",4,AB6="晚",4,AB6="x",0,AB6="X",0,AB6="",0,TRUE,0),IF(ISNUMBER(FIND(" ",AB6)),VALUE(MID(AB6,FIND(" ",AB6)+1,10))-VALUE(LEFT(AB6,FIND(" ",AB6)-1)),0))</f>
        <v>0</v>
      </c>
      <c r="AC30" s="6" cm="1">
        <f t="array" ref="AC30">IF(OR(AC6="M",AC6="M8",AC6="M9",AC6="M10",AC6="M15",AC6="M16",AC6="E",AC6="E13",AC6="E14",AC6="E15",AC6="E16",AC6="A",AC6="S",AC6="O",AC6="早",AC6="午",AC6="晚",AC6="x",AC6="X",AC6=""),_xlfn.IFS(AC6="M",9,AC6="M8",5,AC6="M9",9,AC6="M10",8,AC6="M15",7,AC6="M16",8,AC6="E",5,AC6="E13",9,AC6="E14",8,AC6="E15",7,AC6="E16",6,AC6="A",10,AC6="S",9,AC6="O",0,AC6="早",4.5,AC6="午",4,AC6="晚",4,AC6="x",0,AC6="X",0,AC6="",0,TRUE,0),IF(ISNUMBER(FIND(" ",AC6)),VALUE(MID(AC6,FIND(" ",AC6)+1,10))-VALUE(LEFT(AC6,FIND(" ",AC6)-1)),0))</f>
        <v>0</v>
      </c>
      <c r="AD30" s="6" cm="1">
        <f t="array" ref="AD30">IF(OR(AD6="M",AD6="M8",AD6="M9",AD6="M10",AD6="M15",AD6="M16",AD6="E",AD6="E13",AD6="E14",AD6="E15",AD6="E16",AD6="A",AD6="S",AD6="O",AD6="早",AD6="午",AD6="晚",AD6="x",AD6="X",AD6=""),_xlfn.IFS(AD6="M",9,AD6="M8",5,AD6="M9",9,AD6="M10",8,AD6="M15",7,AD6="M16",8,AD6="E",5,AD6="E13",9,AD6="E14",8,AD6="E15",7,AD6="E16",6,AD6="A",10,AD6="S",9,AD6="O",0,AD6="早",4.5,AD6="午",4,AD6="晚",4,AD6="x",0,AD6="X",0,AD6="",0,TRUE,0),IF(ISNUMBER(FIND(" ",AD6)),VALUE(MID(AD6,FIND(" ",AD6)+1,10))-VALUE(LEFT(AD6,FIND(" ",AD6)-1)),0))</f>
        <v>9</v>
      </c>
      <c r="AE30" s="6" cm="1">
        <f t="array" ref="AE30">IF(OR(AE6="M",AE6="M8",AE6="M9",AE6="M10",AE6="M15",AE6="M16",AE6="E",AE6="E13",AE6="E14",AE6="E15",AE6="E16",AE6="A",AE6="S",AE6="O",AE6="早",AE6="午",AE6="晚",AE6="x",AE6="X",AE6=""),_xlfn.IFS(AE6="M",9,AE6="M8",5,AE6="M9",9,AE6="M10",8,AE6="M15",7,AE6="M16",8,AE6="E",5,AE6="E13",9,AE6="E14",8,AE6="E15",7,AE6="E16",6,AE6="A",10,AE6="S",9,AE6="O",0,AE6="早",4.5,AE6="午",4,AE6="晚",4,AE6="x",0,AE6="X",0,AE6="",0,TRUE,0),IF(ISNUMBER(FIND(" ",AE6)),VALUE(MID(AE6,FIND(" ",AE6)+1,10))-VALUE(LEFT(AE6,FIND(" ",AE6)-1)),0))</f>
        <v>9</v>
      </c>
      <c r="AF30" s="6" cm="1">
        <f t="array" ref="AF30">IF(OR(AF6="M",AF6="M8",AF6="M9",AF6="M10",AF6="M15",AF6="M16",AF6="E",AF6="E13",AF6="E14",AF6="E15",AF6="E16",AF6="A",AF6="S",AF6="O",AF6="早",AF6="午",AF6="晚",AF6="x",AF6="X",AF6=""),_xlfn.IFS(AF6="M",9,AF6="M8",5,AF6="M9",9,AF6="M10",8,AF6="M15",7,AF6="M16",8,AF6="E",5,AF6="E13",9,AF6="E14",8,AF6="E15",7,AF6="E16",6,AF6="A",10,AF6="S",9,AF6="O",0,AF6="早",4.5,AF6="午",4,AF6="晚",4,AF6="x",0,AF6="X",0,AF6="",0,TRUE,0),IF(ISNUMBER(FIND(" ",AF6)),VALUE(MID(AF6,FIND(" ",AF6)+1,10))-VALUE(LEFT(AF6,FIND(" ",AF6)-1)),0))</f>
        <v>0</v>
      </c>
      <c r="AG30" s="6">
        <f t="shared" si="3"/>
        <v>157</v>
      </c>
    </row>
    <row r="31" spans="1:33">
      <c r="A31" s="9" t="s">
        <v>7</v>
      </c>
      <c r="B31" s="6" cm="1">
        <f t="array" ref="B31">IF(OR(B7="M",B7="M8",B7="M9",B7="M10",B7="M15",B7="M16",B7="E",B7="E13",B7="E14",B7="E15",B7="E16",B7="A",B7="S",B7="O",B7="早",B7="午",B7="晚",B7="x",B7="X",B7=""),_xlfn.IFS(B7="M",9,B7="M8",5,B7="M9",9,B7="M10",8,B7="M15",7,B7="M16",8,B7="E",5,B7="E13",9,B7="E14",8,B7="E15",7,B7="E16",6,B7="A",10,B7="S",9,B7="O",0,B7="早",4.5,B7="午",4,B7="晚",4,B7="x",0,B7="X",0,B7="",0,TRUE,0),IF(ISNUMBER(FIND(" ",B7)),VALUE(MID(B7,FIND(" ",B7)+1,10))-VALUE(LEFT(B7,FIND(" ",B7)-1)),0))</f>
        <v>0</v>
      </c>
      <c r="C31" s="6" cm="1">
        <f t="array" ref="C31">IF(OR(C7="M",C7="M8",C7="M9",C7="M10",C7="M15",C7="M16",C7="E",C7="E13",C7="E14",C7="E15",C7="E16",C7="A",C7="S",C7="O",C7="早",C7="午",C7="晚",C7="x",C7="X",C7=""),_xlfn.IFS(C7="M",9,C7="M8",5,C7="M9",9,C7="M10",8,C7="M15",7,C7="M16",8,C7="E",5,C7="E13",9,C7="E14",8,C7="E15",7,C7="E16",6,C7="A",10,C7="S",9,C7="O",0,C7="早",4.5,C7="午",4,C7="晚",4,C7="x",0,C7="X",0,C7="",0,TRUE,0),IF(ISNUMBER(FIND(" ",C7)),VALUE(MID(C7,FIND(" ",C7)+1,10))-VALUE(LEFT(C7,FIND(" ",C7)-1)),0))</f>
        <v>0</v>
      </c>
      <c r="D31" s="6" cm="1">
        <f t="array" ref="D31">IF(OR(D7="M",D7="M8",D7="M9",D7="M10",D7="M15",D7="M16",D7="E",D7="E13",D7="E14",D7="E15",D7="E16",D7="A",D7="S",D7="O",D7="早",D7="午",D7="晚",D7="x",D7="X",D7=""),_xlfn.IFS(D7="M",9,D7="M8",5,D7="M9",9,D7="M10",8,D7="M15",7,D7="M16",8,D7="E",5,D7="E13",9,D7="E14",8,D7="E15",7,D7="E16",6,D7="A",10,D7="S",9,D7="O",0,D7="早",4.5,D7="午",4,D7="晚",4,D7="x",0,D7="X",0,D7="",0,TRUE,0),IF(ISNUMBER(FIND(" ",D7)),VALUE(MID(D7,FIND(" ",D7)+1,10))-VALUE(LEFT(D7,FIND(" ",D7)-1)),0))</f>
        <v>0</v>
      </c>
      <c r="E31" s="6" cm="1">
        <f t="array" ref="E31">IF(OR(E7="M",E7="M8",E7="M9",E7="M10",E7="M15",E7="M16",E7="E",E7="E13",E7="E14",E7="E15",E7="E16",E7="A",E7="S",E7="O",E7="早",E7="午",E7="晚",E7="x",E7="X",E7=""),_xlfn.IFS(E7="M",9,E7="M8",5,E7="M9",9,E7="M10",8,E7="M15",7,E7="M16",8,E7="E",5,E7="E13",9,E7="E14",8,E7="E15",7,E7="E16",6,E7="A",10,E7="S",9,E7="O",0,E7="早",4.5,E7="午",4,E7="晚",4,E7="x",0,E7="X",0,E7="",0,TRUE,0),IF(ISNUMBER(FIND(" ",E7)),VALUE(MID(E7,FIND(" ",E7)+1,10))-VALUE(LEFT(E7,FIND(" ",E7)-1)),0))</f>
        <v>5</v>
      </c>
      <c r="F31" s="6" cm="1">
        <f t="array" ref="F31">IF(OR(F7="M",F7="M8",F7="M9",F7="M10",F7="M15",F7="M16",F7="E",F7="E13",F7="E14",F7="E15",F7="E16",F7="A",F7="S",F7="O",F7="早",F7="午",F7="晚",F7="x",F7="X",F7=""),_xlfn.IFS(F7="M",9,F7="M8",5,F7="M9",9,F7="M10",8,F7="M15",7,F7="M16",8,F7="E",5,F7="E13",9,F7="E14",8,F7="E15",7,F7="E16",6,F7="A",10,F7="S",9,F7="O",0,F7="早",4.5,F7="午",4,F7="晚",4,F7="x",0,F7="X",0,F7="",0,TRUE,0),IF(ISNUMBER(FIND(" ",F7)),VALUE(MID(F7,FIND(" ",F7)+1,10))-VALUE(LEFT(F7,FIND(" ",F7)-1)),0))</f>
        <v>0</v>
      </c>
      <c r="G31" s="6" cm="1">
        <f t="array" ref="G31">IF(OR(G7="M",G7="M8",G7="M9",G7="M10",G7="M15",G7="M16",G7="E",G7="E13",G7="E14",G7="E15",G7="E16",G7="A",G7="S",G7="O",G7="早",G7="午",G7="晚",G7="x",G7="X",G7=""),_xlfn.IFS(G7="M",9,G7="M8",5,G7="M9",9,G7="M10",8,G7="M15",7,G7="M16",8,G7="E",5,G7="E13",9,G7="E14",8,G7="E15",7,G7="E16",6,G7="A",10,G7="S",9,G7="O",0,G7="早",4.5,G7="午",4,G7="晚",4,G7="x",0,G7="X",0,G7="",0,TRUE,0),IF(ISNUMBER(FIND(" ",G7)),VALUE(MID(G7,FIND(" ",G7)+1,10))-VALUE(LEFT(G7,FIND(" ",G7)-1)),0))</f>
        <v>0</v>
      </c>
      <c r="H31" s="6" cm="1">
        <f t="array" ref="H31">IF(OR(H7="M",H7="M8",H7="M9",H7="M10",H7="M15",H7="M16",H7="E",H7="E13",H7="E14",H7="E15",H7="E16",H7="A",H7="S",H7="O",H7="早",H7="午",H7="晚",H7="x",H7="X",H7=""),_xlfn.IFS(H7="M",9,H7="M8",5,H7="M9",9,H7="M10",8,H7="M15",7,H7="M16",8,H7="E",5,H7="E13",9,H7="E14",8,H7="E15",7,H7="E16",6,H7="A",10,H7="S",9,H7="O",0,H7="早",4.5,H7="午",4,H7="晚",4,H7="x",0,H7="X",0,H7="",0,TRUE,0),IF(ISNUMBER(FIND(" ",H7)),VALUE(MID(H7,FIND(" ",H7)+1,10))-VALUE(LEFT(H7,FIND(" ",H7)-1)),0))</f>
        <v>0</v>
      </c>
      <c r="I31" s="6" cm="1">
        <f t="array" ref="I31">IF(OR(I7="M",I7="M8",I7="M9",I7="M10",I7="M15",I7="M16",I7="E",I7="E13",I7="E14",I7="E15",I7="E16",I7="A",I7="S",I7="O",I7="早",I7="午",I7="晚",I7="x",I7="X",I7=""),_xlfn.IFS(I7="M",9,I7="M8",5,I7="M9",9,I7="M10",8,I7="M15",7,I7="M16",8,I7="E",5,I7="E13",9,I7="E14",8,I7="E15",7,I7="E16",6,I7="A",10,I7="S",9,I7="O",0,I7="早",4.5,I7="午",4,I7="晚",4,I7="x",0,I7="X",0,I7="",0,TRUE,0),IF(ISNUMBER(FIND(" ",I7)),VALUE(MID(I7,FIND(" ",I7)+1,10))-VALUE(LEFT(I7,FIND(" ",I7)-1)),0))</f>
        <v>0</v>
      </c>
      <c r="J31" s="6" cm="1">
        <f t="array" ref="J31">IF(OR(J7="M",J7="M8",J7="M9",J7="M10",J7="M15",J7="M16",J7="E",J7="E13",J7="E14",J7="E15",J7="E16",J7="A",J7="S",J7="O",J7="早",J7="午",J7="晚",J7="x",J7="X",J7=""),_xlfn.IFS(J7="M",9,J7="M8",5,J7="M9",9,J7="M10",8,J7="M15",7,J7="M16",8,J7="E",5,J7="E13",9,J7="E14",8,J7="E15",7,J7="E16",6,J7="A",10,J7="S",9,J7="O",0,J7="早",4.5,J7="午",4,J7="晚",4,J7="x",0,J7="X",0,J7="",0,TRUE,0),IF(ISNUMBER(FIND(" ",J7)),VALUE(MID(J7,FIND(" ",J7)+1,10))-VALUE(LEFT(J7,FIND(" ",J7)-1)),0))</f>
        <v>5</v>
      </c>
      <c r="K31" s="6" cm="1">
        <f t="array" ref="K31">IF(OR(K7="M",K7="M8",K7="M9",K7="M10",K7="M15",K7="M16",K7="E",K7="E13",K7="E14",K7="E15",K7="E16",K7="A",K7="S",K7="O",K7="早",K7="午",K7="晚",K7="x",K7="X",K7=""),_xlfn.IFS(K7="M",9,K7="M8",5,K7="M9",9,K7="M10",8,K7="M15",7,K7="M16",8,K7="E",5,K7="E13",9,K7="E14",8,K7="E15",7,K7="E16",6,K7="A",10,K7="S",9,K7="O",0,K7="早",4.5,K7="午",4,K7="晚",4,K7="x",0,K7="X",0,K7="",0,TRUE,0),IF(ISNUMBER(FIND(" ",K7)),VALUE(MID(K7,FIND(" ",K7)+1,10))-VALUE(LEFT(K7,FIND(" ",K7)-1)),0))</f>
        <v>0</v>
      </c>
      <c r="L31" s="6" cm="1">
        <f t="array" ref="L31">IF(OR(L7="M",L7="M8",L7="M9",L7="M10",L7="M15",L7="M16",L7="E",L7="E13",L7="E14",L7="E15",L7="E16",L7="A",L7="S",L7="O",L7="早",L7="午",L7="晚",L7="x",L7="X",L7=""),_xlfn.IFS(L7="M",9,L7="M8",5,L7="M9",9,L7="M10",8,L7="M15",7,L7="M16",8,L7="E",5,L7="E13",9,L7="E14",8,L7="E15",7,L7="E16",6,L7="A",10,L7="S",9,L7="O",0,L7="早",4.5,L7="午",4,L7="晚",4,L7="x",0,L7="X",0,L7="",0,TRUE,0),IF(ISNUMBER(FIND(" ",L7)),VALUE(MID(L7,FIND(" ",L7)+1,10))-VALUE(LEFT(L7,FIND(" ",L7)-1)),0))</f>
        <v>0</v>
      </c>
      <c r="M31" s="6" cm="1">
        <f t="array" ref="M31">IF(OR(M7="M",M7="M8",M7="M9",M7="M10",M7="M15",M7="M16",M7="E",M7="E13",M7="E14",M7="E15",M7="E16",M7="A",M7="S",M7="O",M7="早",M7="午",M7="晚",M7="x",M7="X",M7=""),_xlfn.IFS(M7="M",9,M7="M8",5,M7="M9",9,M7="M10",8,M7="M15",7,M7="M16",8,M7="E",5,M7="E13",9,M7="E14",8,M7="E15",7,M7="E16",6,M7="A",10,M7="S",9,M7="O",0,M7="早",4.5,M7="午",4,M7="晚",4,M7="x",0,M7="X",0,M7="",0,TRUE,0),IF(ISNUMBER(FIND(" ",M7)),VALUE(MID(M7,FIND(" ",M7)+1,10))-VALUE(LEFT(M7,FIND(" ",M7)-1)),0))</f>
        <v>0</v>
      </c>
      <c r="N31" s="6" cm="1">
        <f t="array" ref="N31">IF(OR(N7="M",N7="M8",N7="M9",N7="M10",N7="M15",N7="M16",N7="E",N7="E13",N7="E14",N7="E15",N7="E16",N7="A",N7="S",N7="O",N7="早",N7="午",N7="晚",N7="x",N7="X",N7=""),_xlfn.IFS(N7="M",9,N7="M8",5,N7="M9",9,N7="M10",8,N7="M15",7,N7="M16",8,N7="E",5,N7="E13",9,N7="E14",8,N7="E15",7,N7="E16",6,N7="A",10,N7="S",9,N7="O",0,N7="早",4.5,N7="午",4,N7="晚",4,N7="x",0,N7="X",0,N7="",0,TRUE,0),IF(ISNUMBER(FIND(" ",N7)),VALUE(MID(N7,FIND(" ",N7)+1,10))-VALUE(LEFT(N7,FIND(" ",N7)-1)),0))</f>
        <v>0</v>
      </c>
      <c r="O31" s="6" cm="1">
        <f t="array" ref="O31">IF(OR(O7="M",O7="M8",O7="M9",O7="M10",O7="M15",O7="M16",O7="E",O7="E13",O7="E14",O7="E15",O7="E16",O7="A",O7="S",O7="O",O7="早",O7="午",O7="晚",O7="x",O7="X",O7=""),_xlfn.IFS(O7="M",9,O7="M8",5,O7="M9",9,O7="M10",8,O7="M15",7,O7="M16",8,O7="E",5,O7="E13",9,O7="E14",8,O7="E15",7,O7="E16",6,O7="A",10,O7="S",9,O7="O",0,O7="早",4.5,O7="午",4,O7="晚",4,O7="x",0,O7="X",0,O7="",0,TRUE,0),IF(ISNUMBER(FIND(" ",O7)),VALUE(MID(O7,FIND(" ",O7)+1,10))-VALUE(LEFT(O7,FIND(" ",O7)-1)),0))</f>
        <v>0</v>
      </c>
      <c r="P31" s="6" cm="1">
        <f t="array" ref="P31">IF(OR(P7="M",P7="M8",P7="M9",P7="M10",P7="M15",P7="M16",P7="E",P7="E13",P7="E14",P7="E15",P7="E16",P7="A",P7="S",P7="O",P7="早",P7="午",P7="晚",P7="x",P7="X",P7=""),_xlfn.IFS(P7="M",9,P7="M8",5,P7="M9",9,P7="M10",8,P7="M15",7,P7="M16",8,P7="E",5,P7="E13",9,P7="E14",8,P7="E15",7,P7="E16",6,P7="A",10,P7="S",9,P7="O",0,P7="早",4.5,P7="午",4,P7="晚",4,P7="x",0,P7="X",0,P7="",0,TRUE,0),IF(ISNUMBER(FIND(" ",P7)),VALUE(MID(P7,FIND(" ",P7)+1,10))-VALUE(LEFT(P7,FIND(" ",P7)-1)),0))</f>
        <v>0</v>
      </c>
      <c r="Q31" s="6" cm="1">
        <f t="array" ref="Q31">IF(OR(Q7="M",Q7="M8",Q7="M9",Q7="M10",Q7="M15",Q7="M16",Q7="E",Q7="E13",Q7="E14",Q7="E15",Q7="E16",Q7="A",Q7="S",Q7="O",Q7="早",Q7="午",Q7="晚",Q7="x",Q7="X",Q7=""),_xlfn.IFS(Q7="M",9,Q7="M8",5,Q7="M9",9,Q7="M10",8,Q7="M15",7,Q7="M16",8,Q7="E",5,Q7="E13",9,Q7="E14",8,Q7="E15",7,Q7="E16",6,Q7="A",10,Q7="S",9,Q7="O",0,Q7="早",4.5,Q7="午",4,Q7="晚",4,Q7="x",0,Q7="X",0,Q7="",0,TRUE,0),IF(ISNUMBER(FIND(" ",Q7)),VALUE(MID(Q7,FIND(" ",Q7)+1,10))-VALUE(LEFT(Q7,FIND(" ",Q7)-1)),0))</f>
        <v>5</v>
      </c>
      <c r="R31" s="6" cm="1">
        <f t="array" ref="R31">IF(OR(R7="M",R7="M8",R7="M9",R7="M10",R7="M15",R7="M16",R7="E",R7="E13",R7="E14",R7="E15",R7="E16",R7="A",R7="S",R7="O",R7="早",R7="午",R7="晚",R7="x",R7="X",R7=""),_xlfn.IFS(R7="M",9,R7="M8",5,R7="M9",9,R7="M10",8,R7="M15",7,R7="M16",8,R7="E",5,R7="E13",9,R7="E14",8,R7="E15",7,R7="E16",6,R7="A",10,R7="S",9,R7="O",0,R7="早",4.5,R7="午",4,R7="晚",4,R7="x",0,R7="X",0,R7="",0,TRUE,0),IF(ISNUMBER(FIND(" ",R7)),VALUE(MID(R7,FIND(" ",R7)+1,10))-VALUE(LEFT(R7,FIND(" ",R7)-1)),0))</f>
        <v>0</v>
      </c>
      <c r="S31" s="6" cm="1">
        <f t="array" ref="S31">IF(OR(S7="M",S7="M8",S7="M9",S7="M10",S7="M15",S7="M16",S7="E",S7="E13",S7="E14",S7="E15",S7="E16",S7="A",S7="S",S7="O",S7="早",S7="午",S7="晚",S7="x",S7="X",S7=""),_xlfn.IFS(S7="M",9,S7="M8",5,S7="M9",9,S7="M10",8,S7="M15",7,S7="M16",8,S7="E",5,S7="E13",9,S7="E14",8,S7="E15",7,S7="E16",6,S7="A",10,S7="S",9,S7="O",0,S7="早",4.5,S7="午",4,S7="晚",4,S7="x",0,S7="X",0,S7="",0,TRUE,0),IF(ISNUMBER(FIND(" ",S7)),VALUE(MID(S7,FIND(" ",S7)+1,10))-VALUE(LEFT(S7,FIND(" ",S7)-1)),0))</f>
        <v>0</v>
      </c>
      <c r="T31" s="6" cm="1">
        <f t="array" ref="T31">IF(OR(T7="M",T7="M8",T7="M9",T7="M10",T7="M15",T7="M16",T7="E",T7="E13",T7="E14",T7="E15",T7="E16",T7="A",T7="S",T7="O",T7="早",T7="午",T7="晚",T7="x",T7="X",T7=""),_xlfn.IFS(T7="M",9,T7="M8",5,T7="M9",9,T7="M10",8,T7="M15",7,T7="M16",8,T7="E",5,T7="E13",9,T7="E14",8,T7="E15",7,T7="E16",6,T7="A",10,T7="S",9,T7="O",0,T7="早",4.5,T7="午",4,T7="晚",4,T7="x",0,T7="X",0,T7="",0,TRUE,0),IF(ISNUMBER(FIND(" ",T7)),VALUE(MID(T7,FIND(" ",T7)+1,10))-VALUE(LEFT(T7,FIND(" ",T7)-1)),0))</f>
        <v>0</v>
      </c>
      <c r="U31" s="6" cm="1">
        <f t="array" ref="U31">IF(OR(U7="M",U7="M8",U7="M9",U7="M10",U7="M15",U7="M16",U7="E",U7="E13",U7="E14",U7="E15",U7="E16",U7="A",U7="S",U7="O",U7="早",U7="午",U7="晚",U7="x",U7="X",U7=""),_xlfn.IFS(U7="M",9,U7="M8",5,U7="M9",9,U7="M10",8,U7="M15",7,U7="M16",8,U7="E",5,U7="E13",9,U7="E14",8,U7="E15",7,U7="E16",6,U7="A",10,U7="S",9,U7="O",0,U7="早",4.5,U7="午",4,U7="晚",4,U7="x",0,U7="X",0,U7="",0,TRUE,0),IF(ISNUMBER(FIND(" ",U7)),VALUE(MID(U7,FIND(" ",U7)+1,10))-VALUE(LEFT(U7,FIND(" ",U7)-1)),0))</f>
        <v>0</v>
      </c>
      <c r="V31" s="6" cm="1">
        <f t="array" ref="V31">IF(OR(V7="M",V7="M8",V7="M9",V7="M10",V7="M15",V7="M16",V7="E",V7="E13",V7="E14",V7="E15",V7="E16",V7="A",V7="S",V7="O",V7="早",V7="午",V7="晚",V7="x",V7="X",V7=""),_xlfn.IFS(V7="M",9,V7="M8",5,V7="M9",9,V7="M10",8,V7="M15",7,V7="M16",8,V7="E",5,V7="E13",9,V7="E14",8,V7="E15",7,V7="E16",6,V7="A",10,V7="S",9,V7="O",0,V7="早",4.5,V7="午",4,V7="晚",4,V7="x",0,V7="X",0,V7="",0,TRUE,0),IF(ISNUMBER(FIND(" ",V7)),VALUE(MID(V7,FIND(" ",V7)+1,10))-VALUE(LEFT(V7,FIND(" ",V7)-1)),0))</f>
        <v>0</v>
      </c>
      <c r="W31" s="6" cm="1">
        <f t="array" ref="W31">IF(OR(W7="M",W7="M8",W7="M9",W7="M10",W7="M15",W7="M16",W7="E",W7="E13",W7="E14",W7="E15",W7="E16",W7="A",W7="S",W7="O",W7="早",W7="午",W7="晚",W7="x",W7="X",W7=""),_xlfn.IFS(W7="M",9,W7="M8",5,W7="M9",9,W7="M10",8,W7="M15",7,W7="M16",8,W7="E",5,W7="E13",9,W7="E14",8,W7="E15",7,W7="E16",6,W7="A",10,W7="S",9,W7="O",0,W7="早",4.5,W7="午",4,W7="晚",4,W7="x",0,W7="X",0,W7="",0,TRUE,0),IF(ISNUMBER(FIND(" ",W7)),VALUE(MID(W7,FIND(" ",W7)+1,10))-VALUE(LEFT(W7,FIND(" ",W7)-1)),0))</f>
        <v>0</v>
      </c>
      <c r="X31" s="6" cm="1">
        <f t="array" ref="X31">IF(OR(X7="M",X7="M8",X7="M9",X7="M10",X7="M15",X7="M16",X7="E",X7="E13",X7="E14",X7="E15",X7="E16",X7="A",X7="S",X7="O",X7="早",X7="午",X7="晚",X7="x",X7="X",X7=""),_xlfn.IFS(X7="M",9,X7="M8",5,X7="M9",9,X7="M10",8,X7="M15",7,X7="M16",8,X7="E",5,X7="E13",9,X7="E14",8,X7="E15",7,X7="E16",6,X7="A",10,X7="S",9,X7="O",0,X7="早",4.5,X7="午",4,X7="晚",4,X7="x",0,X7="X",0,X7="",0,TRUE,0),IF(ISNUMBER(FIND(" ",X7)),VALUE(MID(X7,FIND(" ",X7)+1,10))-VALUE(LEFT(X7,FIND(" ",X7)-1)),0))</f>
        <v>0</v>
      </c>
      <c r="Y31" s="6" cm="1">
        <f t="array" ref="Y31">IF(OR(Y7="M",Y7="M8",Y7="M9",Y7="M10",Y7="M15",Y7="M16",Y7="E",Y7="E13",Y7="E14",Y7="E15",Y7="E16",Y7="A",Y7="S",Y7="O",Y7="早",Y7="午",Y7="晚",Y7="x",Y7="X",Y7=""),_xlfn.IFS(Y7="M",9,Y7="M8",5,Y7="M9",9,Y7="M10",8,Y7="M15",7,Y7="M16",8,Y7="E",5,Y7="E13",9,Y7="E14",8,Y7="E15",7,Y7="E16",6,Y7="A",10,Y7="S",9,Y7="O",0,Y7="早",4.5,Y7="午",4,Y7="晚",4,Y7="x",0,Y7="X",0,Y7="",0,TRUE,0),IF(ISNUMBER(FIND(" ",Y7)),VALUE(MID(Y7,FIND(" ",Y7)+1,10))-VALUE(LEFT(Y7,FIND(" ",Y7)-1)),0))</f>
        <v>0</v>
      </c>
      <c r="Z31" s="6" cm="1">
        <f t="array" ref="Z31">IF(OR(Z7="M",Z7="M8",Z7="M9",Z7="M10",Z7="M15",Z7="M16",Z7="E",Z7="E13",Z7="E14",Z7="E15",Z7="E16",Z7="A",Z7="S",Z7="O",Z7="早",Z7="午",Z7="晚",Z7="x",Z7="X",Z7=""),_xlfn.IFS(Z7="M",9,Z7="M8",5,Z7="M9",9,Z7="M10",8,Z7="M15",7,Z7="M16",8,Z7="E",5,Z7="E13",9,Z7="E14",8,Z7="E15",7,Z7="E16",6,Z7="A",10,Z7="S",9,Z7="O",0,Z7="早",4.5,Z7="午",4,Z7="晚",4,Z7="x",0,Z7="X",0,Z7="",0,TRUE,0),IF(ISNUMBER(FIND(" ",Z7)),VALUE(MID(Z7,FIND(" ",Z7)+1,10))-VALUE(LEFT(Z7,FIND(" ",Z7)-1)),0))</f>
        <v>0</v>
      </c>
      <c r="AA31" s="6" cm="1">
        <f t="array" ref="AA31">IF(OR(AA7="M",AA7="M8",AA7="M9",AA7="M10",AA7="M15",AA7="M16",AA7="E",AA7="E13",AA7="E14",AA7="E15",AA7="E16",AA7="A",AA7="S",AA7="O",AA7="早",AA7="午",AA7="晚",AA7="x",AA7="X",AA7=""),_xlfn.IFS(AA7="M",9,AA7="M8",5,AA7="M9",9,AA7="M10",8,AA7="M15",7,AA7="M16",8,AA7="E",5,AA7="E13",9,AA7="E14",8,AA7="E15",7,AA7="E16",6,AA7="A",10,AA7="S",9,AA7="O",0,AA7="早",4.5,AA7="午",4,AA7="晚",4,AA7="x",0,AA7="X",0,AA7="",0,TRUE,0),IF(ISNUMBER(FIND(" ",AA7)),VALUE(MID(AA7,FIND(" ",AA7)+1,10))-VALUE(LEFT(AA7,FIND(" ",AA7)-1)),0))</f>
        <v>5</v>
      </c>
      <c r="AB31" s="6" cm="1">
        <f t="array" ref="AB31">IF(OR(AB7="M",AB7="M8",AB7="M9",AB7="M10",AB7="M15",AB7="M16",AB7="E",AB7="E13",AB7="E14",AB7="E15",AB7="E16",AB7="A",AB7="S",AB7="O",AB7="早",AB7="午",AB7="晚",AB7="x",AB7="X",AB7=""),_xlfn.IFS(AB7="M",9,AB7="M8",5,AB7="M9",9,AB7="M10",8,AB7="M15",7,AB7="M16",8,AB7="E",5,AB7="E13",9,AB7="E14",8,AB7="E15",7,AB7="E16",6,AB7="A",10,AB7="S",9,AB7="O",0,AB7="早",4.5,AB7="午",4,AB7="晚",4,AB7="x",0,AB7="X",0,AB7="",0,TRUE,0),IF(ISNUMBER(FIND(" ",AB7)),VALUE(MID(AB7,FIND(" ",AB7)+1,10))-VALUE(LEFT(AB7,FIND(" ",AB7)-1)),0))</f>
        <v>0</v>
      </c>
      <c r="AC31" s="6" cm="1">
        <f t="array" ref="AC31">IF(OR(AC7="M",AC7="M8",AC7="M9",AC7="M10",AC7="M15",AC7="M16",AC7="E",AC7="E13",AC7="E14",AC7="E15",AC7="E16",AC7="A",AC7="S",AC7="O",AC7="早",AC7="午",AC7="晚",AC7="x",AC7="X",AC7=""),_xlfn.IFS(AC7="M",9,AC7="M8",5,AC7="M9",9,AC7="M10",8,AC7="M15",7,AC7="M16",8,AC7="E",5,AC7="E13",9,AC7="E14",8,AC7="E15",7,AC7="E16",6,AC7="A",10,AC7="S",9,AC7="O",0,AC7="早",4.5,AC7="午",4,AC7="晚",4,AC7="x",0,AC7="X",0,AC7="",0,TRUE,0),IF(ISNUMBER(FIND(" ",AC7)),VALUE(MID(AC7,FIND(" ",AC7)+1,10))-VALUE(LEFT(AC7,FIND(" ",AC7)-1)),0))</f>
        <v>0</v>
      </c>
      <c r="AD31" s="6" cm="1">
        <f t="array" ref="AD31">IF(OR(AD7="M",AD7="M8",AD7="M9",AD7="M10",AD7="M15",AD7="M16",AD7="E",AD7="E13",AD7="E14",AD7="E15",AD7="E16",AD7="A",AD7="S",AD7="O",AD7="早",AD7="午",AD7="晚",AD7="x",AD7="X",AD7=""),_xlfn.IFS(AD7="M",9,AD7="M8",5,AD7="M9",9,AD7="M10",8,AD7="M15",7,AD7="M16",8,AD7="E",5,AD7="E13",9,AD7="E14",8,AD7="E15",7,AD7="E16",6,AD7="A",10,AD7="S",9,AD7="O",0,AD7="早",4.5,AD7="午",4,AD7="晚",4,AD7="x",0,AD7="X",0,AD7="",0,TRUE,0),IF(ISNUMBER(FIND(" ",AD7)),VALUE(MID(AD7,FIND(" ",AD7)+1,10))-VALUE(LEFT(AD7,FIND(" ",AD7)-1)),0))</f>
        <v>0</v>
      </c>
      <c r="AE31" s="6" cm="1">
        <f t="array" ref="AE31">IF(OR(AE7="M",AE7="M8",AE7="M9",AE7="M10",AE7="M15",AE7="M16",AE7="E",AE7="E13",AE7="E14",AE7="E15",AE7="E16",AE7="A",AE7="S",AE7="O",AE7="早",AE7="午",AE7="晚",AE7="x",AE7="X",AE7=""),_xlfn.IFS(AE7="M",9,AE7="M8",5,AE7="M9",9,AE7="M10",8,AE7="M15",7,AE7="M16",8,AE7="E",5,AE7="E13",9,AE7="E14",8,AE7="E15",7,AE7="E16",6,AE7="A",10,AE7="S",9,AE7="O",0,AE7="早",4.5,AE7="午",4,AE7="晚",4,AE7="x",0,AE7="X",0,AE7="",0,TRUE,0),IF(ISNUMBER(FIND(" ",AE7)),VALUE(MID(AE7,FIND(" ",AE7)+1,10))-VALUE(LEFT(AE7,FIND(" ",AE7)-1)),0))</f>
        <v>0</v>
      </c>
      <c r="AF31" s="6" cm="1">
        <f t="array" ref="AF31">IF(OR(AF7="M",AF7="M8",AF7="M9",AF7="M10",AF7="M15",AF7="M16",AF7="E",AF7="E13",AF7="E14",AF7="E15",AF7="E16",AF7="A",AF7="S",AF7="O",AF7="早",AF7="午",AF7="晚",AF7="x",AF7="X",AF7=""),_xlfn.IFS(AF7="M",9,AF7="M8",5,AF7="M9",9,AF7="M10",8,AF7="M15",7,AF7="M16",8,AF7="E",5,AF7="E13",9,AF7="E14",8,AF7="E15",7,AF7="E16",6,AF7="A",10,AF7="S",9,AF7="O",0,AF7="早",4.5,AF7="午",4,AF7="晚",4,AF7="x",0,AF7="X",0,AF7="",0,TRUE,0),IF(ISNUMBER(FIND(" ",AF7)),VALUE(MID(AF7,FIND(" ",AF7)+1,10))-VALUE(LEFT(AF7,FIND(" ",AF7)-1)),0))</f>
        <v>0</v>
      </c>
      <c r="AG31" s="6">
        <f t="shared" si="3"/>
        <v>20</v>
      </c>
    </row>
    <row r="32" spans="1:33">
      <c r="A32" s="9" t="s">
        <v>53</v>
      </c>
      <c r="B32" s="6" cm="1">
        <f t="array" ref="B32">IF(OR(B8="M",B8="M8",B8="M9",B8="M10",B8="M15",B8="M16",B8="E",B8="E13",B8="E14",B8="E15",B8="E16",B8="A",B8="S",B8="O",B8="早",B8="午",B8="晚",B8="x",B8="X",B8=""),_xlfn.IFS(B8="M",9,B8="M8",5,B8="M9",9,B8="M10",8,B8="M15",7,B8="M16",8,B8="E",5,B8="E13",9,B8="E14",8,B8="E15",7,B8="E16",6,B8="A",10,B8="S",9,B8="O",0,B8="早",4.5,B8="午",4,B8="晚",4,B8="x",0,B8="X",0,B8="",0,TRUE,0),IF(ISNUMBER(FIND(" ",B8)),VALUE(MID(B8,FIND(" ",B8)+1,10))-VALUE(LEFT(B8,FIND(" ",B8)-1)),0))</f>
        <v>0</v>
      </c>
      <c r="C32" s="6" cm="1">
        <f t="array" ref="C32">IF(OR(C8="M",C8="M8",C8="M9",C8="M10",C8="M15",C8="M16",C8="E",C8="E13",C8="E14",C8="E15",C8="E16",C8="A",C8="S",C8="O",C8="早",C8="午",C8="晚",C8="x",C8="X",C8=""),_xlfn.IFS(C8="M",9,C8="M8",5,C8="M9",9,C8="M10",8,C8="M15",7,C8="M16",8,C8="E",5,C8="E13",9,C8="E14",8,C8="E15",7,C8="E16",6,C8="A",10,C8="S",9,C8="O",0,C8="早",4.5,C8="午",4,C8="晚",4,C8="x",0,C8="X",0,C8="",0,TRUE,0),IF(ISNUMBER(FIND(" ",C8)),VALUE(MID(C8,FIND(" ",C8)+1,10))-VALUE(LEFT(C8,FIND(" ",C8)-1)),0))</f>
        <v>8.5</v>
      </c>
      <c r="D32" s="6" cm="1">
        <f t="array" ref="D32">IF(OR(D8="M",D8="M8",D8="M9",D8="M10",D8="M15",D8="M16",D8="E",D8="E13",D8="E14",D8="E15",D8="E16",D8="A",D8="S",D8="O",D8="早",D8="午",D8="晚",D8="x",D8="X",D8=""),_xlfn.IFS(D8="M",9,D8="M8",5,D8="M9",9,D8="M10",8,D8="M15",7,D8="M16",8,D8="E",5,D8="E13",9,D8="E14",8,D8="E15",7,D8="E16",6,D8="A",10,D8="S",9,D8="O",0,D8="早",4.5,D8="午",4,D8="晚",4,D8="x",0,D8="X",0,D8="",0,TRUE,0),IF(ISNUMBER(FIND(" ",D8)),VALUE(MID(D8,FIND(" ",D8)+1,10))-VALUE(LEFT(D8,FIND(" ",D8)-1)),0))</f>
        <v>8.5</v>
      </c>
      <c r="E32" s="6" cm="1">
        <f t="array" ref="E32">IF(OR(E8="M",E8="M8",E8="M9",E8="M10",E8="M15",E8="M16",E8="E",E8="E13",E8="E14",E8="E15",E8="E16",E8="A",E8="S",E8="O",E8="早",E8="午",E8="晚",E8="x",E8="X",E8=""),_xlfn.IFS(E8="M",9,E8="M8",5,E8="M9",9,E8="M10",8,E8="M15",7,E8="M16",8,E8="E",5,E8="E13",9,E8="E14",8,E8="E15",7,E8="E16",6,E8="A",10,E8="S",9,E8="O",0,E8="早",4.5,E8="午",4,E8="晚",4,E8="x",0,E8="X",0,E8="",0,TRUE,0),IF(ISNUMBER(FIND(" ",E8)),VALUE(MID(E8,FIND(" ",E8)+1,10))-VALUE(LEFT(E8,FIND(" ",E8)-1)),0))</f>
        <v>6.5</v>
      </c>
      <c r="F32" s="6" cm="1">
        <f t="array" ref="F32">IF(OR(F8="M",F8="M8",F8="M9",F8="M10",F8="M15",F8="M16",F8="E",F8="E13",F8="E14",F8="E15",F8="E16",F8="A",F8="S",F8="O",F8="早",F8="午",F8="晚",F8="x",F8="X",F8=""),_xlfn.IFS(F8="M",9,F8="M8",5,F8="M9",9,F8="M10",8,F8="M15",7,F8="M16",8,F8="E",5,F8="E13",9,F8="E14",8,F8="E15",7,F8="E16",6,F8="A",10,F8="S",9,F8="O",0,F8="早",4.5,F8="午",4,F8="晚",4,F8="x",0,F8="X",0,F8="",0,TRUE,0),IF(ISNUMBER(FIND(" ",F8)),VALUE(MID(F8,FIND(" ",F8)+1,10))-VALUE(LEFT(F8,FIND(" ",F8)-1)),0))</f>
        <v>0</v>
      </c>
      <c r="G32" s="6" cm="1">
        <f t="array" ref="G32">IF(OR(G8="M",G8="M8",G8="M9",G8="M10",G8="M15",G8="M16",G8="E",G8="E13",G8="E14",G8="E15",G8="E16",G8="A",G8="S",G8="O",G8="早",G8="午",G8="晚",G8="x",G8="X",G8=""),_xlfn.IFS(G8="M",9,G8="M8",5,G8="M9",9,G8="M10",8,G8="M15",7,G8="M16",8,G8="E",5,G8="E13",9,G8="E14",8,G8="E15",7,G8="E16",6,G8="A",10,G8="S",9,G8="O",0,G8="早",4.5,G8="午",4,G8="晚",4,G8="x",0,G8="X",0,G8="",0,TRUE,0),IF(ISNUMBER(FIND(" ",G8)),VALUE(MID(G8,FIND(" ",G8)+1,10))-VALUE(LEFT(G8,FIND(" ",G8)-1)),0))</f>
        <v>0</v>
      </c>
      <c r="H32" s="6" cm="1">
        <f t="array" ref="H32">IF(OR(H8="M",H8="M8",H8="M9",H8="M10",H8="M15",H8="M16",H8="E",H8="E13",H8="E14",H8="E15",H8="E16",H8="A",H8="S",H8="O",H8="早",H8="午",H8="晚",H8="x",H8="X",H8=""),_xlfn.IFS(H8="M",9,H8="M8",5,H8="M9",9,H8="M10",8,H8="M15",7,H8="M16",8,H8="E",5,H8="E13",9,H8="E14",8,H8="E15",7,H8="E16",6,H8="A",10,H8="S",9,H8="O",0,H8="早",4.5,H8="午",4,H8="晚",4,H8="x",0,H8="X",0,H8="",0,TRUE,0),IF(ISNUMBER(FIND(" ",H8)),VALUE(MID(H8,FIND(" ",H8)+1,10))-VALUE(LEFT(H8,FIND(" ",H8)-1)),0))</f>
        <v>0</v>
      </c>
      <c r="I32" s="6" cm="1">
        <f t="array" ref="I32">IF(OR(I8="M",I8="M8",I8="M9",I8="M10",I8="M15",I8="M16",I8="E",I8="E13",I8="E14",I8="E15",I8="E16",I8="A",I8="S",I8="O",I8="早",I8="午",I8="晚",I8="x",I8="X",I8=""),_xlfn.IFS(I8="M",9,I8="M8",5,I8="M9",9,I8="M10",8,I8="M15",7,I8="M16",8,I8="E",5,I8="E13",9,I8="E14",8,I8="E15",7,I8="E16",6,I8="A",10,I8="S",9,I8="O",0,I8="早",4.5,I8="午",4,I8="晚",4,I8="x",0,I8="X",0,I8="",0,TRUE,0),IF(ISNUMBER(FIND(" ",I8)),VALUE(MID(I8,FIND(" ",I8)+1,10))-VALUE(LEFT(I8,FIND(" ",I8)-1)),0))</f>
        <v>0</v>
      </c>
      <c r="J32" s="6" cm="1">
        <f t="array" ref="J32">IF(OR(J8="M",J8="M8",J8="M9",J8="M10",J8="M15",J8="M16",J8="E",J8="E13",J8="E14",J8="E15",J8="E16",J8="A",J8="S",J8="O",J8="早",J8="午",J8="晚",J8="x",J8="X",J8=""),_xlfn.IFS(J8="M",9,J8="M8",5,J8="M9",9,J8="M10",8,J8="M15",7,J8="M16",8,J8="E",5,J8="E13",9,J8="E14",8,J8="E15",7,J8="E16",6,J8="A",10,J8="S",9,J8="O",0,J8="早",4.5,J8="午",4,J8="晚",4,J8="x",0,J8="X",0,J8="",0,TRUE,0),IF(ISNUMBER(FIND(" ",J8)),VALUE(MID(J8,FIND(" ",J8)+1,10))-VALUE(LEFT(J8,FIND(" ",J8)-1)),0))</f>
        <v>0</v>
      </c>
      <c r="K32" s="6" cm="1">
        <f t="array" ref="K32">IF(OR(K8="M",K8="M8",K8="M9",K8="M10",K8="M15",K8="M16",K8="E",K8="E13",K8="E14",K8="E15",K8="E16",K8="A",K8="S",K8="O",K8="早",K8="午",K8="晚",K8="x",K8="X",K8=""),_xlfn.IFS(K8="M",9,K8="M8",5,K8="M9",9,K8="M10",8,K8="M15",7,K8="M16",8,K8="E",5,K8="E13",9,K8="E14",8,K8="E15",7,K8="E16",6,K8="A",10,K8="S",9,K8="O",0,K8="早",4.5,K8="午",4,K8="晚",4,K8="x",0,K8="X",0,K8="",0,TRUE,0),IF(ISNUMBER(FIND(" ",K8)),VALUE(MID(K8,FIND(" ",K8)+1,10))-VALUE(LEFT(K8,FIND(" ",K8)-1)),0))</f>
        <v>0</v>
      </c>
      <c r="L32" s="6" cm="1">
        <f t="array" ref="L32">IF(OR(L8="M",L8="M8",L8="M9",L8="M10",L8="M15",L8="M16",L8="E",L8="E13",L8="E14",L8="E15",L8="E16",L8="A",L8="S",L8="O",L8="早",L8="午",L8="晚",L8="x",L8="X",L8=""),_xlfn.IFS(L8="M",9,L8="M8",5,L8="M9",9,L8="M10",8,L8="M15",7,L8="M16",8,L8="E",5,L8="E13",9,L8="E14",8,L8="E15",7,L8="E16",6,L8="A",10,L8="S",9,L8="O",0,L8="早",4.5,L8="午",4,L8="晚",4,L8="x",0,L8="X",0,L8="",0,TRUE,0),IF(ISNUMBER(FIND(" ",L8)),VALUE(MID(L8,FIND(" ",L8)+1,10))-VALUE(LEFT(L8,FIND(" ",L8)-1)),0))</f>
        <v>0</v>
      </c>
      <c r="M32" s="6" cm="1">
        <f t="array" ref="M32">IF(OR(M8="M",M8="M8",M8="M9",M8="M10",M8="M15",M8="M16",M8="E",M8="E13",M8="E14",M8="E15",M8="E16",M8="A",M8="S",M8="O",M8="早",M8="午",M8="晚",M8="x",M8="X",M8=""),_xlfn.IFS(M8="M",9,M8="M8",5,M8="M9",9,M8="M10",8,M8="M15",7,M8="M16",8,M8="E",5,M8="E13",9,M8="E14",8,M8="E15",7,M8="E16",6,M8="A",10,M8="S",9,M8="O",0,M8="早",4.5,M8="午",4,M8="晚",4,M8="x",0,M8="X",0,M8="",0,TRUE,0),IF(ISNUMBER(FIND(" ",M8)),VALUE(MID(M8,FIND(" ",M8)+1,10))-VALUE(LEFT(M8,FIND(" ",M8)-1)),0))</f>
        <v>0</v>
      </c>
      <c r="N32" s="6" cm="1">
        <f t="array" ref="N32">IF(OR(N8="M",N8="M8",N8="M9",N8="M10",N8="M15",N8="M16",N8="E",N8="E13",N8="E14",N8="E15",N8="E16",N8="A",N8="S",N8="O",N8="早",N8="午",N8="晚",N8="x",N8="X",N8=""),_xlfn.IFS(N8="M",9,N8="M8",5,N8="M9",9,N8="M10",8,N8="M15",7,N8="M16",8,N8="E",5,N8="E13",9,N8="E14",8,N8="E15",7,N8="E16",6,N8="A",10,N8="S",9,N8="O",0,N8="早",4.5,N8="午",4,N8="晚",4,N8="x",0,N8="X",0,N8="",0,TRUE,0),IF(ISNUMBER(FIND(" ",N8)),VALUE(MID(N8,FIND(" ",N8)+1,10))-VALUE(LEFT(N8,FIND(" ",N8)-1)),0))</f>
        <v>0</v>
      </c>
      <c r="O32" s="6" cm="1">
        <f t="array" ref="O32">IF(OR(O8="M",O8="M8",O8="M9",O8="M10",O8="M15",O8="M16",O8="E",O8="E13",O8="E14",O8="E15",O8="E16",O8="A",O8="S",O8="O",O8="早",O8="午",O8="晚",O8="x",O8="X",O8=""),_xlfn.IFS(O8="M",9,O8="M8",5,O8="M9",9,O8="M10",8,O8="M15",7,O8="M16",8,O8="E",5,O8="E13",9,O8="E14",8,O8="E15",7,O8="E16",6,O8="A",10,O8="S",9,O8="O",0,O8="早",4.5,O8="午",4,O8="晚",4,O8="x",0,O8="X",0,O8="",0,TRUE,0),IF(ISNUMBER(FIND(" ",O8)),VALUE(MID(O8,FIND(" ",O8)+1,10))-VALUE(LEFT(O8,FIND(" ",O8)-1)),0))</f>
        <v>0</v>
      </c>
      <c r="P32" s="6" cm="1">
        <f t="array" ref="P32">IF(OR(P8="M",P8="M8",P8="M9",P8="M10",P8="M15",P8="M16",P8="E",P8="E13",P8="E14",P8="E15",P8="E16",P8="A",P8="S",P8="O",P8="早",P8="午",P8="晚",P8="x",P8="X",P8=""),_xlfn.IFS(P8="M",9,P8="M8",5,P8="M9",9,P8="M10",8,P8="M15",7,P8="M16",8,P8="E",5,P8="E13",9,P8="E14",8,P8="E15",7,P8="E16",6,P8="A",10,P8="S",9,P8="O",0,P8="早",4.5,P8="午",4,P8="晚",4,P8="x",0,P8="X",0,P8="",0,TRUE,0),IF(ISNUMBER(FIND(" ",P8)),VALUE(MID(P8,FIND(" ",P8)+1,10))-VALUE(LEFT(P8,FIND(" ",P8)-1)),0))</f>
        <v>4.5</v>
      </c>
      <c r="Q32" s="6" cm="1">
        <f t="array" ref="Q32">IF(OR(Q8="M",Q8="M8",Q8="M9",Q8="M10",Q8="M15",Q8="M16",Q8="E",Q8="E13",Q8="E14",Q8="E15",Q8="E16",Q8="A",Q8="S",Q8="O",Q8="早",Q8="午",Q8="晚",Q8="x",Q8="X",Q8=""),_xlfn.IFS(Q8="M",9,Q8="M8",5,Q8="M9",9,Q8="M10",8,Q8="M15",7,Q8="M16",8,Q8="E",5,Q8="E13",9,Q8="E14",8,Q8="E15",7,Q8="E16",6,Q8="A",10,Q8="S",9,Q8="O",0,Q8="早",4.5,Q8="午",4,Q8="晚",4,Q8="x",0,Q8="X",0,Q8="",0,TRUE,0),IF(ISNUMBER(FIND(" ",Q8)),VALUE(MID(Q8,FIND(" ",Q8)+1,10))-VALUE(LEFT(Q8,FIND(" ",Q8)-1)),0))</f>
        <v>8.5</v>
      </c>
      <c r="R32" s="6" cm="1">
        <f t="array" ref="R32">IF(OR(R8="M",R8="M8",R8="M9",R8="M10",R8="M15",R8="M16",R8="E",R8="E13",R8="E14",R8="E15",R8="E16",R8="A",R8="S",R8="O",R8="早",R8="午",R8="晚",R8="x",R8="X",R8=""),_xlfn.IFS(R8="M",9,R8="M8",5,R8="M9",9,R8="M10",8,R8="M15",7,R8="M16",8,R8="E",5,R8="E13",9,R8="E14",8,R8="E15",7,R8="E16",6,R8="A",10,R8="S",9,R8="O",0,R8="早",4.5,R8="午",4,R8="晚",4,R8="x",0,R8="X",0,R8="",0,TRUE,0),IF(ISNUMBER(FIND(" ",R8)),VALUE(MID(R8,FIND(" ",R8)+1,10))-VALUE(LEFT(R8,FIND(" ",R8)-1)),0))</f>
        <v>8.5</v>
      </c>
      <c r="S32" s="6" cm="1">
        <f t="array" ref="S32">IF(OR(S8="M",S8="M8",S8="M9",S8="M10",S8="M15",S8="M16",S8="E",S8="E13",S8="E14",S8="E15",S8="E16",S8="A",S8="S",S8="O",S8="早",S8="午",S8="晚",S8="x",S8="X",S8=""),_xlfn.IFS(S8="M",9,S8="M8",5,S8="M9",9,S8="M10",8,S8="M15",7,S8="M16",8,S8="E",5,S8="E13",9,S8="E14",8,S8="E15",7,S8="E16",6,S8="A",10,S8="S",9,S8="O",0,S8="早",4.5,S8="午",4,S8="晚",4,S8="x",0,S8="X",0,S8="",0,TRUE,0),IF(ISNUMBER(FIND(" ",S8)),VALUE(MID(S8,FIND(" ",S8)+1,10))-VALUE(LEFT(S8,FIND(" ",S8)-1)),0))</f>
        <v>8.5</v>
      </c>
      <c r="T32" s="6" cm="1">
        <f t="array" ref="T32">IF(OR(T8="M",T8="M8",T8="M9",T8="M10",T8="M15",T8="M16",T8="E",T8="E13",T8="E14",T8="E15",T8="E16",T8="A",T8="S",T8="O",T8="早",T8="午",T8="晚",T8="x",T8="X",T8=""),_xlfn.IFS(T8="M",9,T8="M8",5,T8="M9",9,T8="M10",8,T8="M15",7,T8="M16",8,T8="E",5,T8="E13",9,T8="E14",8,T8="E15",7,T8="E16",6,T8="A",10,T8="S",9,T8="O",0,T8="早",4.5,T8="午",4,T8="晚",4,T8="x",0,T8="X",0,T8="",0,TRUE,0),IF(ISNUMBER(FIND(" ",T8)),VALUE(MID(T8,FIND(" ",T8)+1,10))-VALUE(LEFT(T8,FIND(" ",T8)-1)),0))</f>
        <v>4.5</v>
      </c>
      <c r="U32" s="6" cm="1">
        <f t="array" ref="U32">IF(OR(U8="M",U8="M8",U8="M9",U8="M10",U8="M15",U8="M16",U8="E",U8="E13",U8="E14",U8="E15",U8="E16",U8="A",U8="S",U8="O",U8="早",U8="午",U8="晚",U8="x",U8="X",U8=""),_xlfn.IFS(U8="M",9,U8="M8",5,U8="M9",9,U8="M10",8,U8="M15",7,U8="M16",8,U8="E",5,U8="E13",9,U8="E14",8,U8="E15",7,U8="E16",6,U8="A",10,U8="S",9,U8="O",0,U8="早",4.5,U8="午",4,U8="晚",4,U8="x",0,U8="X",0,U8="",0,TRUE,0),IF(ISNUMBER(FIND(" ",U8)),VALUE(MID(U8,FIND(" ",U8)+1,10))-VALUE(LEFT(U8,FIND(" ",U8)-1)),0))</f>
        <v>0</v>
      </c>
      <c r="V32" s="6" cm="1">
        <f t="array" ref="V32">IF(OR(V8="M",V8="M8",V8="M9",V8="M10",V8="M15",V8="M16",V8="E",V8="E13",V8="E14",V8="E15",V8="E16",V8="A",V8="S",V8="O",V8="早",V8="午",V8="晚",V8="x",V8="X",V8=""),_xlfn.IFS(V8="M",9,V8="M8",5,V8="M9",9,V8="M10",8,V8="M15",7,V8="M16",8,V8="E",5,V8="E13",9,V8="E14",8,V8="E15",7,V8="E16",6,V8="A",10,V8="S",9,V8="O",0,V8="早",4.5,V8="午",4,V8="晚",4,V8="x",0,V8="X",0,V8="",0,TRUE,0),IF(ISNUMBER(FIND(" ",V8)),VALUE(MID(V8,FIND(" ",V8)+1,10))-VALUE(LEFT(V8,FIND(" ",V8)-1)),0))</f>
        <v>0</v>
      </c>
      <c r="W32" s="6" cm="1">
        <f t="array" ref="W32">IF(OR(W8="M",W8="M8",W8="M9",W8="M10",W8="M15",W8="M16",W8="E",W8="E13",W8="E14",W8="E15",W8="E16",W8="A",W8="S",W8="O",W8="早",W8="午",W8="晚",W8="x",W8="X",W8=""),_xlfn.IFS(W8="M",9,W8="M8",5,W8="M9",9,W8="M10",8,W8="M15",7,W8="M16",8,W8="E",5,W8="E13",9,W8="E14",8,W8="E15",7,W8="E16",6,W8="A",10,W8="S",9,W8="O",0,W8="早",4.5,W8="午",4,W8="晚",4,W8="x",0,W8="X",0,W8="",0,TRUE,0),IF(ISNUMBER(FIND(" ",W8)),VALUE(MID(W8,FIND(" ",W8)+1,10))-VALUE(LEFT(W8,FIND(" ",W8)-1)),0))</f>
        <v>0</v>
      </c>
      <c r="X32" s="6" cm="1">
        <f t="array" ref="X32">IF(OR(X8="M",X8="M8",X8="M9",X8="M10",X8="M15",X8="M16",X8="E",X8="E13",X8="E14",X8="E15",X8="E16",X8="A",X8="S",X8="O",X8="早",X8="午",X8="晚",X8="x",X8="X",X8=""),_xlfn.IFS(X8="M",9,X8="M8",5,X8="M9",9,X8="M10",8,X8="M15",7,X8="M16",8,X8="E",5,X8="E13",9,X8="E14",8,X8="E15",7,X8="E16",6,X8="A",10,X8="S",9,X8="O",0,X8="早",4.5,X8="午",4,X8="晚",4,X8="x",0,X8="X",0,X8="",0,TRUE,0),IF(ISNUMBER(FIND(" ",X8)),VALUE(MID(X8,FIND(" ",X8)+1,10))-VALUE(LEFT(X8,FIND(" ",X8)-1)),0))</f>
        <v>4.5</v>
      </c>
      <c r="Y32" s="6" cm="1">
        <f t="array" ref="Y32">IF(OR(Y8="M",Y8="M8",Y8="M9",Y8="M10",Y8="M15",Y8="M16",Y8="E",Y8="E13",Y8="E14",Y8="E15",Y8="E16",Y8="A",Y8="S",Y8="O",Y8="早",Y8="午",Y8="晚",Y8="x",Y8="X",Y8=""),_xlfn.IFS(Y8="M",9,Y8="M8",5,Y8="M9",9,Y8="M10",8,Y8="M15",7,Y8="M16",8,Y8="E",5,Y8="E13",9,Y8="E14",8,Y8="E15",7,Y8="E16",6,Y8="A",10,Y8="S",9,Y8="O",0,Y8="早",4.5,Y8="午",4,Y8="晚",4,Y8="x",0,Y8="X",0,Y8="",0,TRUE,0),IF(ISNUMBER(FIND(" ",Y8)),VALUE(MID(Y8,FIND(" ",Y8)+1,10))-VALUE(LEFT(Y8,FIND(" ",Y8)-1)),0))</f>
        <v>8.5</v>
      </c>
      <c r="Z32" s="6" cm="1">
        <f t="array" ref="Z32">IF(OR(Z8="M",Z8="M8",Z8="M9",Z8="M10",Z8="M15",Z8="M16",Z8="E",Z8="E13",Z8="E14",Z8="E15",Z8="E16",Z8="A",Z8="S",Z8="O",Z8="早",Z8="午",Z8="晚",Z8="x",Z8="X",Z8=""),_xlfn.IFS(Z8="M",9,Z8="M8",5,Z8="M9",9,Z8="M10",8,Z8="M15",7,Z8="M16",8,Z8="E",5,Z8="E13",9,Z8="E14",8,Z8="E15",7,Z8="E16",6,Z8="A",10,Z8="S",9,Z8="O",0,Z8="早",4.5,Z8="午",4,Z8="晚",4,Z8="x",0,Z8="X",0,Z8="",0,TRUE,0),IF(ISNUMBER(FIND(" ",Z8)),VALUE(MID(Z8,FIND(" ",Z8)+1,10))-VALUE(LEFT(Z8,FIND(" ",Z8)-1)),0))</f>
        <v>4.5</v>
      </c>
      <c r="AA32" s="6" cm="1">
        <f t="array" ref="AA32">IF(OR(AA8="M",AA8="M8",AA8="M9",AA8="M10",AA8="M15",AA8="M16",AA8="E",AA8="E13",AA8="E14",AA8="E15",AA8="E16",AA8="A",AA8="S",AA8="O",AA8="早",AA8="午",AA8="晚",AA8="x",AA8="X",AA8=""),_xlfn.IFS(AA8="M",9,AA8="M8",5,AA8="M9",9,AA8="M10",8,AA8="M15",7,AA8="M16",8,AA8="E",5,AA8="E13",9,AA8="E14",8,AA8="E15",7,AA8="E16",6,AA8="A",10,AA8="S",9,AA8="O",0,AA8="早",4.5,AA8="午",4,AA8="晚",4,AA8="x",0,AA8="X",0,AA8="",0,TRUE,0),IF(ISNUMBER(FIND(" ",AA8)),VALUE(MID(AA8,FIND(" ",AA8)+1,10))-VALUE(LEFT(AA8,FIND(" ",AA8)-1)),0))</f>
        <v>0</v>
      </c>
      <c r="AB32" s="6" cm="1">
        <f t="array" ref="AB32">IF(OR(AB8="M",AB8="M8",AB8="M9",AB8="M10",AB8="M15",AB8="M16",AB8="E",AB8="E13",AB8="E14",AB8="E15",AB8="E16",AB8="A",AB8="S",AB8="O",AB8="早",AB8="午",AB8="晚",AB8="x",AB8="X",AB8=""),_xlfn.IFS(AB8="M",9,AB8="M8",5,AB8="M9",9,AB8="M10",8,AB8="M15",7,AB8="M16",8,AB8="E",5,AB8="E13",9,AB8="E14",8,AB8="E15",7,AB8="E16",6,AB8="A",10,AB8="S",9,AB8="O",0,AB8="早",4.5,AB8="午",4,AB8="晚",4,AB8="x",0,AB8="X",0,AB8="",0,TRUE,0),IF(ISNUMBER(FIND(" ",AB8)),VALUE(MID(AB8,FIND(" ",AB8)+1,10))-VALUE(LEFT(AB8,FIND(" ",AB8)-1)),0))</f>
        <v>0</v>
      </c>
      <c r="AC32" s="6" cm="1">
        <f t="array" ref="AC32">IF(OR(AC8="M",AC8="M8",AC8="M9",AC8="M10",AC8="M15",AC8="M16",AC8="E",AC8="E13",AC8="E14",AC8="E15",AC8="E16",AC8="A",AC8="S",AC8="O",AC8="早",AC8="午",AC8="晚",AC8="x",AC8="X",AC8=""),_xlfn.IFS(AC8="M",9,AC8="M8",5,AC8="M9",9,AC8="M10",8,AC8="M15",7,AC8="M16",8,AC8="E",5,AC8="E13",9,AC8="E14",8,AC8="E15",7,AC8="E16",6,AC8="A",10,AC8="S",9,AC8="O",0,AC8="早",4.5,AC8="午",4,AC8="晚",4,AC8="x",0,AC8="X",0,AC8="",0,TRUE,0),IF(ISNUMBER(FIND(" ",AC8)),VALUE(MID(AC8,FIND(" ",AC8)+1,10))-VALUE(LEFT(AC8,FIND(" ",AC8)-1)),0))</f>
        <v>0</v>
      </c>
      <c r="AD32" s="6" cm="1">
        <f t="array" ref="AD32">IF(OR(AD8="M",AD8="M8",AD8="M9",AD8="M10",AD8="M15",AD8="M16",AD8="E",AD8="E13",AD8="E14",AD8="E15",AD8="E16",AD8="A",AD8="S",AD8="O",AD8="早",AD8="午",AD8="晚",AD8="x",AD8="X",AD8=""),_xlfn.IFS(AD8="M",9,AD8="M8",5,AD8="M9",9,AD8="M10",8,AD8="M15",7,AD8="M16",8,AD8="E",5,AD8="E13",9,AD8="E14",8,AD8="E15",7,AD8="E16",6,AD8="A",10,AD8="S",9,AD8="O",0,AD8="早",4.5,AD8="午",4,AD8="晚",4,AD8="x",0,AD8="X",0,AD8="",0,TRUE,0),IF(ISNUMBER(FIND(" ",AD8)),VALUE(MID(AD8,FIND(" ",AD8)+1,10))-VALUE(LEFT(AD8,FIND(" ",AD8)-1)),0))</f>
        <v>0</v>
      </c>
      <c r="AE32" s="6" cm="1">
        <f t="array" ref="AE32">IF(OR(AE8="M",AE8="M8",AE8="M9",AE8="M10",AE8="M15",AE8="M16",AE8="E",AE8="E13",AE8="E14",AE8="E15",AE8="E16",AE8="A",AE8="S",AE8="O",AE8="早",AE8="午",AE8="晚",AE8="x",AE8="X",AE8=""),_xlfn.IFS(AE8="M",9,AE8="M8",5,AE8="M9",9,AE8="M10",8,AE8="M15",7,AE8="M16",8,AE8="E",5,AE8="E13",9,AE8="E14",8,AE8="E15",7,AE8="E16",6,AE8="A",10,AE8="S",9,AE8="O",0,AE8="早",4.5,AE8="午",4,AE8="晚",4,AE8="x",0,AE8="X",0,AE8="",0,TRUE,0),IF(ISNUMBER(FIND(" ",AE8)),VALUE(MID(AE8,FIND(" ",AE8)+1,10))-VALUE(LEFT(AE8,FIND(" ",AE8)-1)),0))</f>
        <v>0</v>
      </c>
      <c r="AF32" s="6" cm="1">
        <f t="array" ref="AF32">IF(OR(AF8="M",AF8="M8",AF8="M9",AF8="M10",AF8="M15",AF8="M16",AF8="E",AF8="E13",AF8="E14",AF8="E15",AF8="E16",AF8="A",AF8="S",AF8="O",AF8="早",AF8="午",AF8="晚",AF8="x",AF8="X",AF8=""),_xlfn.IFS(AF8="M",9,AF8="M8",5,AF8="M9",9,AF8="M10",8,AF8="M15",7,AF8="M16",8,AF8="E",5,AF8="E13",9,AF8="E14",8,AF8="E15",7,AF8="E16",6,AF8="A",10,AF8="S",9,AF8="O",0,AF8="早",4.5,AF8="午",4,AF8="晚",4,AF8="x",0,AF8="X",0,AF8="",0,TRUE,0),IF(ISNUMBER(FIND(" ",AF8)),VALUE(MID(AF8,FIND(" ",AF8)+1,10))-VALUE(LEFT(AF8,FIND(" ",AF8)-1)),0))</f>
        <v>0</v>
      </c>
      <c r="AG32" s="6">
        <f t="shared" si="3"/>
        <v>75.5</v>
      </c>
    </row>
    <row r="33" spans="1:33">
      <c r="A33" s="45" t="s">
        <v>54</v>
      </c>
      <c r="B33" s="2" cm="1">
        <f t="array" ref="B33">IF(OR(B9="M",B9="M8",B9="M9",B9="M10",B9="M15",B9="M16",B9="E",B9="E13",B9="E14",B9="E15",B9="E16",B9="A",B9="S",B9="O",B9="早",B9="午",B9="晚",B9="x",B9="X",B9=""),_xlfn.IFS(B9="M",9,B9="M8",5,B9="M9",9,B9="M10",8,B9="M15",7,B9="M16",8,B9="E",5,B9="E13",9,B9="E14",8,B9="E15",7,B9="E16",6,B9="A",10,B9="S",9,B9="O",0,B9="早",4.5,B9="午",4,B9="晚",4,B9="x",0,B9="X",0,B9="",0,TRUE,0),IF(ISNUMBER(FIND(" ",B9)),VALUE(MID(B9,FIND(" ",B9)+1,10))-VALUE(LEFT(B9,FIND(" ",B9)-1)),0))</f>
        <v>4</v>
      </c>
      <c r="C33" s="2" cm="1">
        <f t="array" ref="C33">IF(OR(C9="M",C9="M8",C9="M9",C9="M10",C9="M15",C9="M16",C9="E",C9="E13",C9="E14",C9="E15",C9="E16",C9="A",C9="S",C9="O",C9="早",C9="午",C9="晚",C9="x",C9="X",C9=""),_xlfn.IFS(C9="M",9,C9="M8",5,C9="M9",9,C9="M10",8,C9="M15",7,C9="M16",8,C9="E",5,C9="E13",9,C9="E14",8,C9="E15",7,C9="E16",6,C9="A",10,C9="S",9,C9="O",0,C9="早",4.5,C9="午",4,C9="晚",4,C9="x",0,C9="X",0,C9="",0,TRUE,0),IF(ISNUMBER(FIND(" ",C9)),VALUE(MID(C9,FIND(" ",C9)+1,10))-VALUE(LEFT(C9,FIND(" ",C9)-1)),0))</f>
        <v>0</v>
      </c>
      <c r="D33" s="2" cm="1">
        <f t="array" ref="D33">IF(OR(D9="M",D9="M8",D9="M9",D9="M10",D9="M15",D9="M16",D9="E",D9="E13",D9="E14",D9="E15",D9="E16",D9="A",D9="S",D9="O",D9="早",D9="午",D9="晚",D9="x",D9="X",D9=""),_xlfn.IFS(D9="M",9,D9="M8",5,D9="M9",9,D9="M10",8,D9="M15",7,D9="M16",8,D9="E",5,D9="E13",9,D9="E14",8,D9="E15",7,D9="E16",6,D9="A",10,D9="S",9,D9="O",0,D9="早",4.5,D9="午",4,D9="晚",4,D9="x",0,D9="X",0,D9="",0,TRUE,0),IF(ISNUMBER(FIND(" ",D9)),VALUE(MID(D9,FIND(" ",D9)+1,10))-VALUE(LEFT(D9,FIND(" ",D9)-1)),0))</f>
        <v>0</v>
      </c>
      <c r="E33" s="2" cm="1">
        <f t="array" ref="E33">IF(OR(E9="M",E9="M8",E9="M9",E9="M10",E9="M15",E9="M16",E9="E",E9="E13",E9="E14",E9="E15",E9="E16",E9="A",E9="S",E9="O",E9="早",E9="午",E9="晚",E9="x",E9="X",E9=""),_xlfn.IFS(E9="M",9,E9="M8",5,E9="M9",9,E9="M10",8,E9="M15",7,E9="M16",8,E9="E",5,E9="E13",9,E9="E14",8,E9="E15",7,E9="E16",6,E9="A",10,E9="S",9,E9="O",0,E9="早",4.5,E9="午",4,E9="晚",4,E9="x",0,E9="X",0,E9="",0,TRUE,0),IF(ISNUMBER(FIND(" ",E9)),VALUE(MID(E9,FIND(" ",E9)+1,10))-VALUE(LEFT(E9,FIND(" ",E9)-1)),0))</f>
        <v>6</v>
      </c>
      <c r="F33" s="2" cm="1">
        <f t="array" ref="F33">IF(OR(F9="M",F9="M8",F9="M9",F9="M10",F9="M15",F9="M16",F9="E",F9="E13",F9="E14",F9="E15",F9="E16",F9="A",F9="S",F9="O",F9="早",F9="午",F9="晚",F9="x",F9="X",F9=""),_xlfn.IFS(F9="M",9,F9="M8",5,F9="M9",9,F9="M10",8,F9="M15",7,F9="M16",8,F9="E",5,F9="E13",9,F9="E14",8,F9="E15",7,F9="E16",6,F9="A",10,F9="S",9,F9="O",0,F9="早",4.5,F9="午",4,F9="晚",4,F9="x",0,F9="X",0,F9="",0,TRUE,0),IF(ISNUMBER(FIND(" ",F9)),VALUE(MID(F9,FIND(" ",F9)+1,10))-VALUE(LEFT(F9,FIND(" ",F9)-1)),0))</f>
        <v>4</v>
      </c>
      <c r="G33" s="2" cm="1">
        <f t="array" ref="G33">IF(OR(G9="M",G9="M8",G9="M9",G9="M10",G9="M15",G9="M16",G9="E",G9="E13",G9="E14",G9="E15",G9="E16",G9="A",G9="S",G9="O",G9="早",G9="午",G9="晚",G9="x",G9="X",G9=""),_xlfn.IFS(G9="M",9,G9="M8",5,G9="M9",9,G9="M10",8,G9="M15",7,G9="M16",8,G9="E",5,G9="E13",9,G9="E14",8,G9="E15",7,G9="E16",6,G9="A",10,G9="S",9,G9="O",0,G9="早",4.5,G9="午",4,G9="晚",4,G9="x",0,G9="X",0,G9="",0,TRUE,0),IF(ISNUMBER(FIND(" ",G9)),VALUE(MID(G9,FIND(" ",G9)+1,10))-VALUE(LEFT(G9,FIND(" ",G9)-1)),0))</f>
        <v>4.5</v>
      </c>
      <c r="H33" s="2" cm="1">
        <f t="array" ref="H33">IF(OR(H9="M",H9="M8",H9="M9",H9="M10",H9="M15",H9="M16",H9="E",H9="E13",H9="E14",H9="E15",H9="E16",H9="A",H9="S",H9="O",H9="早",H9="午",H9="晚",H9="x",H9="X",H9=""),_xlfn.IFS(H9="M",9,H9="M8",5,H9="M9",9,H9="M10",8,H9="M15",7,H9="M16",8,H9="E",5,H9="E13",9,H9="E14",8,H9="E15",7,H9="E16",6,H9="A",10,H9="S",9,H9="O",0,H9="早",4.5,H9="午",4,H9="晚",4,H9="x",0,H9="X",0,H9="",0,TRUE,0),IF(ISNUMBER(FIND(" ",H9)),VALUE(MID(H9,FIND(" ",H9)+1,10))-VALUE(LEFT(H9,FIND(" ",H9)-1)),0))</f>
        <v>0</v>
      </c>
      <c r="I33" s="2" cm="1">
        <f t="array" ref="I33">IF(OR(I9="M",I9="M8",I9="M9",I9="M10",I9="M15",I9="M16",I9="E",I9="E13",I9="E14",I9="E15",I9="E16",I9="A",I9="S",I9="O",I9="早",I9="午",I9="晚",I9="x",I9="X",I9=""),_xlfn.IFS(I9="M",9,I9="M8",5,I9="M9",9,I9="M10",8,I9="M15",7,I9="M16",8,I9="E",5,I9="E13",9,I9="E14",8,I9="E15",7,I9="E16",6,I9="A",10,I9="S",9,I9="O",0,I9="早",4.5,I9="午",4,I9="晚",4,I9="x",0,I9="X",0,I9="",0,TRUE,0),IF(ISNUMBER(FIND(" ",I9)),VALUE(MID(I9,FIND(" ",I9)+1,10))-VALUE(LEFT(I9,FIND(" ",I9)-1)),0))</f>
        <v>0</v>
      </c>
      <c r="J33" s="2" cm="1">
        <f t="array" ref="J33">IF(OR(J9="M",J9="M8",J9="M9",J9="M10",J9="M15",J9="M16",J9="E",J9="E13",J9="E14",J9="E15",J9="E16",J9="A",J9="S",J9="O",J9="早",J9="午",J9="晚",J9="x",J9="X",J9=""),_xlfn.IFS(J9="M",9,J9="M8",5,J9="M9",9,J9="M10",8,J9="M15",7,J9="M16",8,J9="E",5,J9="E13",9,J9="E14",8,J9="E15",7,J9="E16",6,J9="A",10,J9="S",9,J9="O",0,J9="早",4.5,J9="午",4,J9="晚",4,J9="x",0,J9="X",0,J9="",0,TRUE,0),IF(ISNUMBER(FIND(" ",J9)),VALUE(MID(J9,FIND(" ",J9)+1,10))-VALUE(LEFT(J9,FIND(" ",J9)-1)),0))</f>
        <v>4</v>
      </c>
      <c r="K33" s="2" cm="1">
        <f t="array" ref="K33">IF(OR(K9="M",K9="M8",K9="M9",K9="M10",K9="M15",K9="M16",K9="E",K9="E13",K9="E14",K9="E15",K9="E16",K9="A",K9="S",K9="O",K9="早",K9="午",K9="晚",K9="x",K9="X",K9=""),_xlfn.IFS(K9="M",9,K9="M8",5,K9="M9",9,K9="M10",8,K9="M15",7,K9="M16",8,K9="E",5,K9="E13",9,K9="E14",8,K9="E15",7,K9="E16",6,K9="A",10,K9="S",9,K9="O",0,K9="早",4.5,K9="午",4,K9="晚",4,K9="x",0,K9="X",0,K9="",0,TRUE,0),IF(ISNUMBER(FIND(" ",K9)),VALUE(MID(K9,FIND(" ",K9)+1,10))-VALUE(LEFT(K9,FIND(" ",K9)-1)),0))</f>
        <v>4</v>
      </c>
      <c r="L33" s="2" cm="1">
        <f t="array" ref="L33">IF(OR(L9="M",L9="M8",L9="M9",L9="M10",L9="M15",L9="M16",L9="E",L9="E13",L9="E14",L9="E15",L9="E16",L9="A",L9="S",L9="O",L9="早",L9="午",L9="晚",L9="x",L9="X",L9=""),_xlfn.IFS(L9="M",9,L9="M8",5,L9="M9",9,L9="M10",8,L9="M15",7,L9="M16",8,L9="E",5,L9="E13",9,L9="E14",8,L9="E15",7,L9="E16",6,L9="A",10,L9="S",9,L9="O",0,L9="早",4.5,L9="午",4,L9="晚",4,L9="x",0,L9="X",0,L9="",0,TRUE,0),IF(ISNUMBER(FIND(" ",L9)),VALUE(MID(L9,FIND(" ",L9)+1,10))-VALUE(LEFT(L9,FIND(" ",L9)-1)),0))</f>
        <v>0</v>
      </c>
      <c r="M33" s="2" cm="1">
        <f t="array" ref="M33">IF(OR(M9="M",M9="M8",M9="M9",M9="M10",M9="M15",M9="M16",M9="E",M9="E13",M9="E14",M9="E15",M9="E16",M9="A",M9="S",M9="O",M9="早",M9="午",M9="晚",M9="x",M9="X",M9=""),_xlfn.IFS(M9="M",9,M9="M8",5,M9="M9",9,M9="M10",8,M9="M15",7,M9="M16",8,M9="E",5,M9="E13",9,M9="E14",8,M9="E15",7,M9="E16",6,M9="A",10,M9="S",9,M9="O",0,M9="早",4.5,M9="午",4,M9="晚",4,M9="x",0,M9="X",0,M9="",0,TRUE,0),IF(ISNUMBER(FIND(" ",M9)),VALUE(MID(M9,FIND(" ",M9)+1,10))-VALUE(LEFT(M9,FIND(" ",M9)-1)),0))</f>
        <v>8.5</v>
      </c>
      <c r="N33" s="2" cm="1">
        <f t="array" ref="N33">IF(OR(N9="M",N9="M8",N9="M9",N9="M10",N9="M15",N9="M16",N9="E",N9="E13",N9="E14",N9="E15",N9="E16",N9="A",N9="S",N9="O",N9="早",N9="午",N9="晚",N9="x",N9="X",N9=""),_xlfn.IFS(N9="M",9,N9="M8",5,N9="M9",9,N9="M10",8,N9="M15",7,N9="M16",8,N9="E",5,N9="E13",9,N9="E14",8,N9="E15",7,N9="E16",6,N9="A",10,N9="S",9,N9="O",0,N9="早",4.5,N9="午",4,N9="晚",4,N9="x",0,N9="X",0,N9="",0,TRUE,0),IF(ISNUMBER(FIND(" ",N9)),VALUE(MID(N9,FIND(" ",N9)+1,10))-VALUE(LEFT(N9,FIND(" ",N9)-1)),0))</f>
        <v>0</v>
      </c>
      <c r="O33" s="2" cm="1">
        <f t="array" ref="O33">IF(OR(O9="M",O9="M8",O9="M9",O9="M10",O9="M15",O9="M16",O9="E",O9="E13",O9="E14",O9="E15",O9="E16",O9="A",O9="S",O9="O",O9="早",O9="午",O9="晚",O9="x",O9="X",O9=""),_xlfn.IFS(O9="M",9,O9="M8",5,O9="M9",9,O9="M10",8,O9="M15",7,O9="M16",8,O9="E",5,O9="E13",9,O9="E14",8,O9="E15",7,O9="E16",6,O9="A",10,O9="S",9,O9="O",0,O9="早",4.5,O9="午",4,O9="晚",4,O9="x",0,O9="X",0,O9="",0,TRUE,0),IF(ISNUMBER(FIND(" ",O9)),VALUE(MID(O9,FIND(" ",O9)+1,10))-VALUE(LEFT(O9,FIND(" ",O9)-1)),0))</f>
        <v>0</v>
      </c>
      <c r="P33" s="2" cm="1">
        <f t="array" ref="P33">IF(OR(P9="M",P9="M8",P9="M9",P9="M10",P9="M15",P9="M16",P9="E",P9="E13",P9="E14",P9="E15",P9="E16",P9="A",P9="S",P9="O",P9="早",P9="午",P9="晚",P9="x",P9="X",P9=""),_xlfn.IFS(P9="M",9,P9="M8",5,P9="M9",9,P9="M10",8,P9="M15",7,P9="M16",8,P9="E",5,P9="E13",9,P9="E14",8,P9="E15",7,P9="E16",6,P9="A",10,P9="S",9,P9="O",0,P9="早",4.5,P9="午",4,P9="晚",4,P9="x",0,P9="X",0,P9="",0,TRUE,0),IF(ISNUMBER(FIND(" ",P9)),VALUE(MID(P9,FIND(" ",P9)+1,10))-VALUE(LEFT(P9,FIND(" ",P9)-1)),0))</f>
        <v>4</v>
      </c>
      <c r="Q33" s="2" cm="1">
        <f t="array" ref="Q33">IF(OR(Q9="M",Q9="M8",Q9="M9",Q9="M10",Q9="M15",Q9="M16",Q9="E",Q9="E13",Q9="E14",Q9="E15",Q9="E16",Q9="A",Q9="S",Q9="O",Q9="早",Q9="午",Q9="晚",Q9="x",Q9="X",Q9=""),_xlfn.IFS(Q9="M",9,Q9="M8",5,Q9="M9",9,Q9="M10",8,Q9="M15",7,Q9="M16",8,Q9="E",5,Q9="E13",9,Q9="E14",8,Q9="E15",7,Q9="E16",6,Q9="A",10,Q9="S",9,Q9="O",0,Q9="早",4.5,Q9="午",4,Q9="晚",4,Q9="x",0,Q9="X",0,Q9="",0,TRUE,0),IF(ISNUMBER(FIND(" ",Q9)),VALUE(MID(Q9,FIND(" ",Q9)+1,10))-VALUE(LEFT(Q9,FIND(" ",Q9)-1)),0))</f>
        <v>4</v>
      </c>
      <c r="R33" s="2" cm="1">
        <f t="array" ref="R33">IF(OR(R9="M",R9="M8",R9="M9",R9="M10",R9="M15",R9="M16",R9="E",R9="E13",R9="E14",R9="E15",R9="E16",R9="A",R9="S",R9="O",R9="早",R9="午",R9="晚",R9="x",R9="X",R9=""),_xlfn.IFS(R9="M",9,R9="M8",5,R9="M9",9,R9="M10",8,R9="M15",7,R9="M16",8,R9="E",5,R9="E13",9,R9="E14",8,R9="E15",7,R9="E16",6,R9="A",10,R9="S",9,R9="O",0,R9="早",4.5,R9="午",4,R9="晚",4,R9="x",0,R9="X",0,R9="",0,TRUE,0),IF(ISNUMBER(FIND(" ",R9)),VALUE(MID(R9,FIND(" ",R9)+1,10))-VALUE(LEFT(R9,FIND(" ",R9)-1)),0))</f>
        <v>0</v>
      </c>
      <c r="S33" s="2" cm="1">
        <f t="array" ref="S33">IF(OR(S9="M",S9="M8",S9="M9",S9="M10",S9="M15",S9="M16",S9="E",S9="E13",S9="E14",S9="E15",S9="E16",S9="A",S9="S",S9="O",S9="早",S9="午",S9="晚",S9="x",S9="X",S9=""),_xlfn.IFS(S9="M",9,S9="M8",5,S9="M9",9,S9="M10",8,S9="M15",7,S9="M16",8,S9="E",5,S9="E13",9,S9="E14",8,S9="E15",7,S9="E16",6,S9="A",10,S9="S",9,S9="O",0,S9="早",4.5,S9="午",4,S9="晚",4,S9="x",0,S9="X",0,S9="",0,TRUE,0),IF(ISNUMBER(FIND(" ",S9)),VALUE(MID(S9,FIND(" ",S9)+1,10))-VALUE(LEFT(S9,FIND(" ",S9)-1)),0))</f>
        <v>4</v>
      </c>
      <c r="T33" s="2" cm="1">
        <f t="array" ref="T33">IF(OR(T9="M",T9="M8",T9="M9",T9="M10",T9="M15",T9="M16",T9="E",T9="E13",T9="E14",T9="E15",T9="E16",T9="A",T9="S",T9="O",T9="早",T9="午",T9="晚",T9="x",T9="X",T9=""),_xlfn.IFS(T9="M",9,T9="M8",5,T9="M9",9,T9="M10",8,T9="M15",7,T9="M16",8,T9="E",5,T9="E13",9,T9="E14",8,T9="E15",7,T9="E16",6,T9="A",10,T9="S",9,T9="O",0,T9="早",4.5,T9="午",4,T9="晚",4,T9="x",0,T9="X",0,T9="",0,TRUE,0),IF(ISNUMBER(FIND(" ",T9)),VALUE(MID(T9,FIND(" ",T9)+1,10))-VALUE(LEFT(T9,FIND(" ",T9)-1)),0))</f>
        <v>3</v>
      </c>
      <c r="U33" s="2" cm="1">
        <f t="array" ref="U33">IF(OR(U9="M",U9="M8",U9="M9",U9="M10",U9="M15",U9="M16",U9="E",U9="E13",U9="E14",U9="E15",U9="E16",U9="A",U9="S",U9="O",U9="早",U9="午",U9="晚",U9="x",U9="X",U9=""),_xlfn.IFS(U9="M",9,U9="M8",5,U9="M9",9,U9="M10",8,U9="M15",7,U9="M16",8,U9="E",5,U9="E13",9,U9="E14",8,U9="E15",7,U9="E16",6,U9="A",10,U9="S",9,U9="O",0,U9="早",4.5,U9="午",4,U9="晚",4,U9="x",0,U9="X",0,U9="",0,TRUE,0),IF(ISNUMBER(FIND(" ",U9)),VALUE(MID(U9,FIND(" ",U9)+1,10))-VALUE(LEFT(U9,FIND(" ",U9)-1)),0))</f>
        <v>0</v>
      </c>
      <c r="V33" s="2" cm="1">
        <f t="array" ref="V33">IF(OR(V9="M",V9="M8",V9="M9",V9="M10",V9="M15",V9="M16",V9="E",V9="E13",V9="E14",V9="E15",V9="E16",V9="A",V9="S",V9="O",V9="早",V9="午",V9="晚",V9="x",V9="X",V9=""),_xlfn.IFS(V9="M",9,V9="M8",5,V9="M9",9,V9="M10",8,V9="M15",7,V9="M16",8,V9="E",5,V9="E13",9,V9="E14",8,V9="E15",7,V9="E16",6,V9="A",10,V9="S",9,V9="O",0,V9="早",4.5,V9="午",4,V9="晚",4,V9="x",0,V9="X",0,V9="",0,TRUE,0),IF(ISNUMBER(FIND(" ",V9)),VALUE(MID(V9,FIND(" ",V9)+1,10))-VALUE(LEFT(V9,FIND(" ",V9)-1)),0))</f>
        <v>0</v>
      </c>
      <c r="W33" s="2" cm="1">
        <f t="array" ref="W33">IF(OR(W9="M",W9="M8",W9="M9",W9="M10",W9="M15",W9="M16",W9="E",W9="E13",W9="E14",W9="E15",W9="E16",W9="A",W9="S",W9="O",W9="早",W9="午",W9="晚",W9="x",W9="X",W9=""),_xlfn.IFS(W9="M",9,W9="M8",5,W9="M9",9,W9="M10",8,W9="M15",7,W9="M16",8,W9="E",5,W9="E13",9,W9="E14",8,W9="E15",7,W9="E16",6,W9="A",10,W9="S",9,W9="O",0,W9="早",4.5,W9="午",4,W9="晚",4,W9="x",0,W9="X",0,W9="",0,TRUE,0),IF(ISNUMBER(FIND(" ",W9)),VALUE(MID(W9,FIND(" ",W9)+1,10))-VALUE(LEFT(W9,FIND(" ",W9)-1)),0))</f>
        <v>4</v>
      </c>
      <c r="X33" s="2" cm="1">
        <f t="array" ref="X33">IF(OR(X9="M",X9="M8",X9="M9",X9="M10",X9="M15",X9="M16",X9="E",X9="E13",X9="E14",X9="E15",X9="E16",X9="A",X9="S",X9="O",X9="早",X9="午",X9="晚",X9="x",X9="X",X9=""),_xlfn.IFS(X9="M",9,X9="M8",5,X9="M9",9,X9="M10",8,X9="M15",7,X9="M16",8,X9="E",5,X9="E13",9,X9="E14",8,X9="E15",7,X9="E16",6,X9="A",10,X9="S",9,X9="O",0,X9="早",4.5,X9="午",4,X9="晚",4,X9="x",0,X9="X",0,X9="",0,TRUE,0),IF(ISNUMBER(FIND(" ",X9)),VALUE(MID(X9,FIND(" ",X9)+1,10))-VALUE(LEFT(X9,FIND(" ",X9)-1)),0))</f>
        <v>4</v>
      </c>
      <c r="Y33" s="2" cm="1">
        <f t="array" ref="Y33">IF(OR(Y9="M",Y9="M8",Y9="M9",Y9="M10",Y9="M15",Y9="M16",Y9="E",Y9="E13",Y9="E14",Y9="E15",Y9="E16",Y9="A",Y9="S",Y9="O",Y9="早",Y9="午",Y9="晚",Y9="x",Y9="X",Y9=""),_xlfn.IFS(Y9="M",9,Y9="M8",5,Y9="M9",9,Y9="M10",8,Y9="M15",7,Y9="M16",8,Y9="E",5,Y9="E13",9,Y9="E14",8,Y9="E15",7,Y9="E16",6,Y9="A",10,Y9="S",9,Y9="O",0,Y9="早",4.5,Y9="午",4,Y9="晚",4,Y9="x",0,Y9="X",0,Y9="",0,TRUE,0),IF(ISNUMBER(FIND(" ",Y9)),VALUE(MID(Y9,FIND(" ",Y9)+1,10))-VALUE(LEFT(Y9,FIND(" ",Y9)-1)),0))</f>
        <v>0</v>
      </c>
      <c r="Z33" s="2" cm="1">
        <f t="array" ref="Z33">IF(OR(Z9="M",Z9="M8",Z9="M9",Z9="M10",Z9="M15",Z9="M16",Z9="E",Z9="E13",Z9="E14",Z9="E15",Z9="E16",Z9="A",Z9="S",Z9="O",Z9="早",Z9="午",Z9="晚",Z9="x",Z9="X",Z9=""),_xlfn.IFS(Z9="M",9,Z9="M8",5,Z9="M9",9,Z9="M10",8,Z9="M15",7,Z9="M16",8,Z9="E",5,Z9="E13",9,Z9="E14",8,Z9="E15",7,Z9="E16",6,Z9="A",10,Z9="S",9,Z9="O",0,Z9="早",4.5,Z9="午",4,Z9="晚",4,Z9="x",0,Z9="X",0,Z9="",0,TRUE,0),IF(ISNUMBER(FIND(" ",Z9)),VALUE(MID(Z9,FIND(" ",Z9)+1,10))-VALUE(LEFT(Z9,FIND(" ",Z9)-1)),0))</f>
        <v>4</v>
      </c>
      <c r="AA33" s="2" cm="1">
        <f t="array" ref="AA33">IF(OR(AA9="M",AA9="M8",AA9="M9",AA9="M10",AA9="M15",AA9="M16",AA9="E",AA9="E13",AA9="E14",AA9="E15",AA9="E16",AA9="A",AA9="S",AA9="O",AA9="早",AA9="午",AA9="晚",AA9="x",AA9="X",AA9=""),_xlfn.IFS(AA9="M",9,AA9="M8",5,AA9="M9",9,AA9="M10",8,AA9="M15",7,AA9="M16",8,AA9="E",5,AA9="E13",9,AA9="E14",8,AA9="E15",7,AA9="E16",6,AA9="A",10,AA9="S",9,AA9="O",0,AA9="早",4.5,AA9="午",4,AA9="晚",4,AA9="x",0,AA9="X",0,AA9="",0,TRUE,0),IF(ISNUMBER(FIND(" ",AA9)),VALUE(MID(AA9,FIND(" ",AA9)+1,10))-VALUE(LEFT(AA9,FIND(" ",AA9)-1)),0))</f>
        <v>4</v>
      </c>
      <c r="AB33" s="2" cm="1">
        <f t="array" ref="AB33">IF(OR(AB9="M",AB9="M8",AB9="M9",AB9="M10",AB9="M15",AB9="M16",AB9="E",AB9="E13",AB9="E14",AB9="E15",AB9="E16",AB9="A",AB9="S",AB9="O",AB9="早",AB9="午",AB9="晚",AB9="x",AB9="X",AB9=""),_xlfn.IFS(AB9="M",9,AB9="M8",5,AB9="M9",9,AB9="M10",8,AB9="M15",7,AB9="M16",8,AB9="E",5,AB9="E13",9,AB9="E14",8,AB9="E15",7,AB9="E16",6,AB9="A",10,AB9="S",9,AB9="O",0,AB9="早",4.5,AB9="午",4,AB9="晚",4,AB9="x",0,AB9="X",0,AB9="",0,TRUE,0),IF(ISNUMBER(FIND(" ",AB9)),VALUE(MID(AB9,FIND(" ",AB9)+1,10))-VALUE(LEFT(AB9,FIND(" ",AB9)-1)),0))</f>
        <v>0</v>
      </c>
      <c r="AC33" s="2" cm="1">
        <f t="array" ref="AC33">IF(OR(AC9="M",AC9="M8",AC9="M9",AC9="M10",AC9="M15",AC9="M16",AC9="E",AC9="E13",AC9="E14",AC9="E15",AC9="E16",AC9="A",AC9="S",AC9="O",AC9="早",AC9="午",AC9="晚",AC9="x",AC9="X",AC9=""),_xlfn.IFS(AC9="M",9,AC9="M8",5,AC9="M9",9,AC9="M10",8,AC9="M15",7,AC9="M16",8,AC9="E",5,AC9="E13",9,AC9="E14",8,AC9="E15",7,AC9="E16",6,AC9="A",10,AC9="S",9,AC9="O",0,AC9="早",4.5,AC9="午",4,AC9="晚",4,AC9="x",0,AC9="X",0,AC9="",0,TRUE,0),IF(ISNUMBER(FIND(" ",AC9)),VALUE(MID(AC9,FIND(" ",AC9)+1,10))-VALUE(LEFT(AC9,FIND(" ",AC9)-1)),0))</f>
        <v>0</v>
      </c>
      <c r="AD33" s="2" cm="1">
        <f t="array" ref="AD33">IF(OR(AD9="M",AD9="M8",AD9="M9",AD9="M10",AD9="M15",AD9="M16",AD9="E",AD9="E13",AD9="E14",AD9="E15",AD9="E16",AD9="A",AD9="S",AD9="O",AD9="早",AD9="午",AD9="晚",AD9="x",AD9="X",AD9=""),_xlfn.IFS(AD9="M",9,AD9="M8",5,AD9="M9",9,AD9="M10",8,AD9="M15",7,AD9="M16",8,AD9="E",5,AD9="E13",9,AD9="E14",8,AD9="E15",7,AD9="E16",6,AD9="A",10,AD9="S",9,AD9="O",0,AD9="早",4.5,AD9="午",4,AD9="晚",4,AD9="x",0,AD9="X",0,AD9="",0,TRUE,0),IF(ISNUMBER(FIND(" ",AD9)),VALUE(MID(AD9,FIND(" ",AD9)+1,10))-VALUE(LEFT(AD9,FIND(" ",AD9)-1)),0))</f>
        <v>4</v>
      </c>
      <c r="AE33" s="2" cm="1">
        <f t="array" ref="AE33">IF(OR(AE9="M",AE9="M8",AE9="M9",AE9="M10",AE9="M15",AE9="M16",AE9="E",AE9="E13",AE9="E14",AE9="E15",AE9="E16",AE9="A",AE9="S",AE9="O",AE9="早",AE9="午",AE9="晚",AE9="x",AE9="X",AE9=""),_xlfn.IFS(AE9="M",9,AE9="M8",5,AE9="M9",9,AE9="M10",8,AE9="M15",7,AE9="M16",8,AE9="E",5,AE9="E13",9,AE9="E14",8,AE9="E15",7,AE9="E16",6,AE9="A",10,AE9="S",9,AE9="O",0,AE9="早",4.5,AE9="午",4,AE9="晚",4,AE9="x",0,AE9="X",0,AE9="",0,TRUE,0),IF(ISNUMBER(FIND(" ",AE9)),VALUE(MID(AE9,FIND(" ",AE9)+1,10))-VALUE(LEFT(AE9,FIND(" ",AE9)-1)),0))</f>
        <v>8.5</v>
      </c>
      <c r="AF33" s="2" cm="1">
        <f t="array" ref="AF33">IF(OR(AF9="M",AF9="M8",AF9="M9",AF9="M10",AF9="M15",AF9="M16",AF9="E",AF9="E13",AF9="E14",AF9="E15",AF9="E16",AF9="A",AF9="S",AF9="O",AF9="早",AF9="午",AF9="晚",AF9="x",AF9="X",AF9=""),_xlfn.IFS(AF9="M",9,AF9="M8",5,AF9="M9",9,AF9="M10",8,AF9="M15",7,AF9="M16",8,AF9="E",5,AF9="E13",9,AF9="E14",8,AF9="E15",7,AF9="E16",6,AF9="A",10,AF9="S",9,AF9="O",0,AF9="早",4.5,AF9="午",4,AF9="晚",4,AF9="x",0,AF9="X",0,AF9="",0,TRUE,0),IF(ISNUMBER(FIND(" ",AF9)),VALUE(MID(AF9,FIND(" ",AF9)+1,10))-VALUE(LEFT(AF9,FIND(" ",AF9)-1)),0))</f>
        <v>0</v>
      </c>
      <c r="AG33" s="1">
        <f t="shared" si="3"/>
        <v>78.5</v>
      </c>
    </row>
    <row r="34" spans="1:33">
      <c r="A34" s="45" t="s">
        <v>55</v>
      </c>
      <c r="B34" s="2" cm="1">
        <f t="array" ref="B34">IF(OR(B10="M",B10="M8",B10="M9",B10="M10",B10="M15",B10="M16",B10="E",B10="E13",B10="E14",B10="E15",B10="E16",B10="A",B10="S",B10="O",B10="早",B10="午",B10="晚",B10="x",B10="X",B10=""),_xlfn.IFS(B10="M",9,B10="M8",5,B10="M9",9,B10="M10",8,B10="M15",7,B10="M16",8,B10="E",5,B10="E13",9,B10="E14",8,B10="E15",7,B10="E16",6,B10="A",10,B10="S",9,B10="O",0,B10="早",4.5,B10="午",4,B10="晚",4,B10="x",0,B10="X",0,B10="",0,TRUE,0),IF(ISNUMBER(FIND(" ",B10)),VALUE(MID(B10,FIND(" ",B10)+1,10))-VALUE(LEFT(B10,FIND(" ",B10)-1)),0))</f>
        <v>4</v>
      </c>
      <c r="C34" s="2" cm="1">
        <f t="array" ref="C34">IF(OR(C10="M",C10="M8",C10="M9",C10="M10",C10="M15",C10="M16",C10="E",C10="E13",C10="E14",C10="E15",C10="E16",C10="A",C10="S",C10="O",C10="早",C10="午",C10="晚",C10="x",C10="X",C10=""),_xlfn.IFS(C10="M",9,C10="M8",5,C10="M9",9,C10="M10",8,C10="M15",7,C10="M16",8,C10="E",5,C10="E13",9,C10="E14",8,C10="E15",7,C10="E16",6,C10="A",10,C10="S",9,C10="O",0,C10="早",4.5,C10="午",4,C10="晚",4,C10="x",0,C10="X",0,C10="",0,TRUE,0),IF(ISNUMBER(FIND(" ",C10)),VALUE(MID(C10,FIND(" ",C10)+1,10))-VALUE(LEFT(C10,FIND(" ",C10)-1)),0))</f>
        <v>4</v>
      </c>
      <c r="D34" s="2" cm="1">
        <f t="array" ref="D34">IF(OR(D10="M",D10="M8",D10="M9",D10="M10",D10="M15",D10="M16",D10="E",D10="E13",D10="E14",D10="E15",D10="E16",D10="A",D10="S",D10="O",D10="早",D10="午",D10="晚",D10="x",D10="X",D10=""),_xlfn.IFS(D10="M",9,D10="M8",5,D10="M9",9,D10="M10",8,D10="M15",7,D10="M16",8,D10="E",5,D10="E13",9,D10="E14",8,D10="E15",7,D10="E16",6,D10="A",10,D10="S",9,D10="O",0,D10="早",4.5,D10="午",4,D10="晚",4,D10="x",0,D10="X",0,D10="",0,TRUE,0),IF(ISNUMBER(FIND(" ",D10)),VALUE(MID(D10,FIND(" ",D10)+1,10))-VALUE(LEFT(D10,FIND(" ",D10)-1)),0))</f>
        <v>4</v>
      </c>
      <c r="E34" s="2" cm="1">
        <f t="array" ref="E34">IF(OR(E10="M",E10="M8",E10="M9",E10="M10",E10="M15",E10="M16",E10="E",E10="E13",E10="E14",E10="E15",E10="E16",E10="A",E10="S",E10="O",E10="早",E10="午",E10="晚",E10="x",E10="X",E10=""),_xlfn.IFS(E10="M",9,E10="M8",5,E10="M9",9,E10="M10",8,E10="M15",7,E10="M16",8,E10="E",5,E10="E13",9,E10="E14",8,E10="E15",7,E10="E16",6,E10="A",10,E10="S",9,E10="O",0,E10="早",4.5,E10="午",4,E10="晚",4,E10="x",0,E10="X",0,E10="",0,TRUE,0),IF(ISNUMBER(FIND(" ",E10)),VALUE(MID(E10,FIND(" ",E10)+1,10))-VALUE(LEFT(E10,FIND(" ",E10)-1)),0))</f>
        <v>0</v>
      </c>
      <c r="F34" s="2" cm="1">
        <f t="array" ref="F34">IF(OR(F10="M",F10="M8",F10="M9",F10="M10",F10="M15",F10="M16",F10="E",F10="E13",F10="E14",F10="E15",F10="E16",F10="A",F10="S",F10="O",F10="早",F10="午",F10="晚",F10="x",F10="X",F10=""),_xlfn.IFS(F10="M",9,F10="M8",5,F10="M9",9,F10="M10",8,F10="M15",7,F10="M16",8,F10="E",5,F10="E13",9,F10="E14",8,F10="E15",7,F10="E16",6,F10="A",10,F10="S",9,F10="O",0,F10="早",4.5,F10="午",4,F10="晚",4,F10="x",0,F10="X",0,F10="",0,TRUE,0),IF(ISNUMBER(FIND(" ",F10)),VALUE(MID(F10,FIND(" ",F10)+1,10))-VALUE(LEFT(F10,FIND(" ",F10)-1)),0))</f>
        <v>4</v>
      </c>
      <c r="G34" s="2" cm="1">
        <f t="array" ref="G34">IF(OR(G10="M",G10="M8",G10="M9",G10="M10",G10="M15",G10="M16",G10="E",G10="E13",G10="E14",G10="E15",G10="E16",G10="A",G10="S",G10="O",G10="早",G10="午",G10="晚",G10="x",G10="X",G10=""),_xlfn.IFS(G10="M",9,G10="M8",5,G10="M9",9,G10="M10",8,G10="M15",7,G10="M16",8,G10="E",5,G10="E13",9,G10="E14",8,G10="E15",7,G10="E16",6,G10="A",10,G10="S",9,G10="O",0,G10="早",4.5,G10="午",4,G10="晚",4,G10="x",0,G10="X",0,G10="",0,TRUE,0),IF(ISNUMBER(FIND(" ",G10)),VALUE(MID(G10,FIND(" ",G10)+1,10))-VALUE(LEFT(G10,FIND(" ",G10)-1)),0))</f>
        <v>0</v>
      </c>
      <c r="H34" s="2" cm="1">
        <f t="array" ref="H34">IF(OR(H10="M",H10="M8",H10="M9",H10="M10",H10="M15",H10="M16",H10="E",H10="E13",H10="E14",H10="E15",H10="E16",H10="A",H10="S",H10="O",H10="早",H10="午",H10="晚",H10="x",H10="X",H10=""),_xlfn.IFS(H10="M",9,H10="M8",5,H10="M9",9,H10="M10",8,H10="M15",7,H10="M16",8,H10="E",5,H10="E13",9,H10="E14",8,H10="E15",7,H10="E16",6,H10="A",10,H10="S",9,H10="O",0,H10="早",4.5,H10="午",4,H10="晚",4,H10="x",0,H10="X",0,H10="",0,TRUE,0),IF(ISNUMBER(FIND(" ",H10)),VALUE(MID(H10,FIND(" ",H10)+1,10))-VALUE(LEFT(H10,FIND(" ",H10)-1)),0))</f>
        <v>0</v>
      </c>
      <c r="I34" s="2" cm="1">
        <f t="array" ref="I34">IF(OR(I10="M",I10="M8",I10="M9",I10="M10",I10="M15",I10="M16",I10="E",I10="E13",I10="E14",I10="E15",I10="E16",I10="A",I10="S",I10="O",I10="早",I10="午",I10="晚",I10="x",I10="X",I10=""),_xlfn.IFS(I10="M",9,I10="M8",5,I10="M9",9,I10="M10",8,I10="M15",7,I10="M16",8,I10="E",5,I10="E13",9,I10="E14",8,I10="E15",7,I10="E16",6,I10="A",10,I10="S",9,I10="O",0,I10="早",4.5,I10="午",4,I10="晚",4,I10="x",0,I10="X",0,I10="",0,TRUE,0),IF(ISNUMBER(FIND(" ",I10)),VALUE(MID(I10,FIND(" ",I10)+1,10))-VALUE(LEFT(I10,FIND(" ",I10)-1)),0))</f>
        <v>4</v>
      </c>
      <c r="J34" s="2" cm="1">
        <f t="array" ref="J34">IF(OR(J10="M",J10="M8",J10="M9",J10="M10",J10="M15",J10="M16",J10="E",J10="E13",J10="E14",J10="E15",J10="E16",J10="A",J10="S",J10="O",J10="早",J10="午",J10="晚",J10="x",J10="X",J10=""),_xlfn.IFS(J10="M",9,J10="M8",5,J10="M9",9,J10="M10",8,J10="M15",7,J10="M16",8,J10="E",5,J10="E13",9,J10="E14",8,J10="E15",7,J10="E16",6,J10="A",10,J10="S",9,J10="O",0,J10="早",4.5,J10="午",4,J10="晚",4,J10="x",0,J10="X",0,J10="",0,TRUE,0),IF(ISNUMBER(FIND(" ",J10)),VALUE(MID(J10,FIND(" ",J10)+1,10))-VALUE(LEFT(J10,FIND(" ",J10)-1)),0))</f>
        <v>0</v>
      </c>
      <c r="K34" s="2" cm="1">
        <f t="array" ref="K34">IF(OR(K10="M",K10="M8",K10="M9",K10="M10",K10="M15",K10="M16",K10="E",K10="E13",K10="E14",K10="E15",K10="E16",K10="A",K10="S",K10="O",K10="早",K10="午",K10="晚",K10="x",K10="X",K10=""),_xlfn.IFS(K10="M",9,K10="M8",5,K10="M9",9,K10="M10",8,K10="M15",7,K10="M16",8,K10="E",5,K10="E13",9,K10="E14",8,K10="E15",7,K10="E16",6,K10="A",10,K10="S",9,K10="O",0,K10="早",4.5,K10="午",4,K10="晚",4,K10="x",0,K10="X",0,K10="",0,TRUE,0),IF(ISNUMBER(FIND(" ",K10)),VALUE(MID(K10,FIND(" ",K10)+1,10))-VALUE(LEFT(K10,FIND(" ",K10)-1)),0))</f>
        <v>4</v>
      </c>
      <c r="L34" s="2" cm="1">
        <f t="array" ref="L34">IF(OR(L10="M",L10="M8",L10="M9",L10="M10",L10="M15",L10="M16",L10="E",L10="E13",L10="E14",L10="E15",L10="E16",L10="A",L10="S",L10="O",L10="早",L10="午",L10="晚",L10="x",L10="X",L10=""),_xlfn.IFS(L10="M",9,L10="M8",5,L10="M9",9,L10="M10",8,L10="M15",7,L10="M16",8,L10="E",5,L10="E13",9,L10="E14",8,L10="E15",7,L10="E16",6,L10="A",10,L10="S",9,L10="O",0,L10="早",4.5,L10="午",4,L10="晚",4,L10="x",0,L10="X",0,L10="",0,TRUE,0),IF(ISNUMBER(FIND(" ",L10)),VALUE(MID(L10,FIND(" ",L10)+1,10))-VALUE(LEFT(L10,FIND(" ",L10)-1)),0))</f>
        <v>0</v>
      </c>
      <c r="M34" s="2" cm="1">
        <f t="array" ref="M34">IF(OR(M10="M",M10="M8",M10="M9",M10="M10",M10="M15",M10="M16",M10="E",M10="E13",M10="E14",M10="E15",M10="E16",M10="A",M10="S",M10="O",M10="早",M10="午",M10="晚",M10="x",M10="X",M10=""),_xlfn.IFS(M10="M",9,M10="M8",5,M10="M9",9,M10="M10",8,M10="M15",7,M10="M16",8,M10="E",5,M10="E13",9,M10="E14",8,M10="E15",7,M10="E16",6,M10="A",10,M10="S",9,M10="O",0,M10="早",4.5,M10="午",4,M10="晚",4,M10="x",0,M10="X",0,M10="",0,TRUE,0),IF(ISNUMBER(FIND(" ",M10)),VALUE(MID(M10,FIND(" ",M10)+1,10))-VALUE(LEFT(M10,FIND(" ",M10)-1)),0))</f>
        <v>4</v>
      </c>
      <c r="N34" s="2" cm="1">
        <f t="array" ref="N34">IF(OR(N10="M",N10="M8",N10="M9",N10="M10",N10="M15",N10="M16",N10="E",N10="E13",N10="E14",N10="E15",N10="E16",N10="A",N10="S",N10="O",N10="早",N10="午",N10="晚",N10="x",N10="X",N10=""),_xlfn.IFS(N10="M",9,N10="M8",5,N10="M9",9,N10="M10",8,N10="M15",7,N10="M16",8,N10="E",5,N10="E13",9,N10="E14",8,N10="E15",7,N10="E16",6,N10="A",10,N10="S",9,N10="O",0,N10="早",4.5,N10="午",4,N10="晚",4,N10="x",0,N10="X",0,N10="",0,TRUE,0),IF(ISNUMBER(FIND(" ",N10)),VALUE(MID(N10,FIND(" ",N10)+1,10))-VALUE(LEFT(N10,FIND(" ",N10)-1)),0))</f>
        <v>4.5</v>
      </c>
      <c r="O34" s="2" cm="1">
        <f t="array" ref="O34">IF(OR(O10="M",O10="M8",O10="M9",O10="M10",O10="M15",O10="M16",O10="E",O10="E13",O10="E14",O10="E15",O10="E16",O10="A",O10="S",O10="O",O10="早",O10="午",O10="晚",O10="x",O10="X",O10=""),_xlfn.IFS(O10="M",9,O10="M8",5,O10="M9",9,O10="M10",8,O10="M15",7,O10="M16",8,O10="E",5,O10="E13",9,O10="E14",8,O10="E15",7,O10="E16",6,O10="A",10,O10="S",9,O10="O",0,O10="早",4.5,O10="午",4,O10="晚",4,O10="x",0,O10="X",0,O10="",0,TRUE,0),IF(ISNUMBER(FIND(" ",O10)),VALUE(MID(O10,FIND(" ",O10)+1,10))-VALUE(LEFT(O10,FIND(" ",O10)-1)),0))</f>
        <v>0</v>
      </c>
      <c r="P34" s="2" cm="1">
        <f t="array" ref="P34">IF(OR(P10="M",P10="M8",P10="M9",P10="M10",P10="M15",P10="M16",P10="E",P10="E13",P10="E14",P10="E15",P10="E16",P10="A",P10="S",P10="O",P10="早",P10="午",P10="晚",P10="x",P10="X",P10=""),_xlfn.IFS(P10="M",9,P10="M8",5,P10="M9",9,P10="M10",8,P10="M15",7,P10="M16",8,P10="E",5,P10="E13",9,P10="E14",8,P10="E15",7,P10="E16",6,P10="A",10,P10="S",9,P10="O",0,P10="早",4.5,P10="午",4,P10="晚",4,P10="x",0,P10="X",0,P10="",0,TRUE,0),IF(ISNUMBER(FIND(" ",P10)),VALUE(MID(P10,FIND(" ",P10)+1,10))-VALUE(LEFT(P10,FIND(" ",P10)-1)),0))</f>
        <v>4</v>
      </c>
      <c r="Q34" s="2" cm="1">
        <f t="array" ref="Q34">IF(OR(Q10="M",Q10="M8",Q10="M9",Q10="M10",Q10="M15",Q10="M16",Q10="E",Q10="E13",Q10="E14",Q10="E15",Q10="E16",Q10="A",Q10="S",Q10="O",Q10="早",Q10="午",Q10="晚",Q10="x",Q10="X",Q10=""),_xlfn.IFS(Q10="M",9,Q10="M8",5,Q10="M9",9,Q10="M10",8,Q10="M15",7,Q10="M16",8,Q10="E",5,Q10="E13",9,Q10="E14",8,Q10="E15",7,Q10="E16",6,Q10="A",10,Q10="S",9,Q10="O",0,Q10="早",4.5,Q10="午",4,Q10="晚",4,Q10="x",0,Q10="X",0,Q10="",0,TRUE,0),IF(ISNUMBER(FIND(" ",Q10)),VALUE(MID(Q10,FIND(" ",Q10)+1,10))-VALUE(LEFT(Q10,FIND(" ",Q10)-1)),0))</f>
        <v>0</v>
      </c>
      <c r="R34" s="2" cm="1">
        <f t="array" ref="R34">IF(OR(R10="M",R10="M8",R10="M9",R10="M10",R10="M15",R10="M16",R10="E",R10="E13",R10="E14",R10="E15",R10="E16",R10="A",R10="S",R10="O",R10="早",R10="午",R10="晚",R10="x",R10="X",R10=""),_xlfn.IFS(R10="M",9,R10="M8",5,R10="M9",9,R10="M10",8,R10="M15",7,R10="M16",8,R10="E",5,R10="E13",9,R10="E14",8,R10="E15",7,R10="E16",6,R10="A",10,R10="S",9,R10="O",0,R10="早",4.5,R10="午",4,R10="晚",4,R10="x",0,R10="X",0,R10="",0,TRUE,0),IF(ISNUMBER(FIND(" ",R10)),VALUE(MID(R10,FIND(" ",R10)+1,10))-VALUE(LEFT(R10,FIND(" ",R10)-1)),0))</f>
        <v>4</v>
      </c>
      <c r="S34" s="2" cm="1">
        <f t="array" ref="S34">IF(OR(S10="M",S10="M8",S10="M9",S10="M10",S10="M15",S10="M16",S10="E",S10="E13",S10="E14",S10="E15",S10="E16",S10="A",S10="S",S10="O",S10="早",S10="午",S10="晚",S10="x",S10="X",S10=""),_xlfn.IFS(S10="M",9,S10="M8",5,S10="M9",9,S10="M10",8,S10="M15",7,S10="M16",8,S10="E",5,S10="E13",9,S10="E14",8,S10="E15",7,S10="E16",6,S10="A",10,S10="S",9,S10="O",0,S10="早",4.5,S10="午",4,S10="晚",4,S10="x",0,S10="X",0,S10="",0,TRUE,0),IF(ISNUMBER(FIND(" ",S10)),VALUE(MID(S10,FIND(" ",S10)+1,10))-VALUE(LEFT(S10,FIND(" ",S10)-1)),0))</f>
        <v>0</v>
      </c>
      <c r="T34" s="2" cm="1">
        <f t="array" ref="T34">IF(OR(T10="M",T10="M8",T10="M9",T10="M10",T10="M15",T10="M16",T10="E",T10="E13",T10="E14",T10="E15",T10="E16",T10="A",T10="S",T10="O",T10="早",T10="午",T10="晚",T10="x",T10="X",T10=""),_xlfn.IFS(T10="M",9,T10="M8",5,T10="M9",9,T10="M10",8,T10="M15",7,T10="M16",8,T10="E",5,T10="E13",9,T10="E14",8,T10="E15",7,T10="E16",6,T10="A",10,T10="S",9,T10="O",0,T10="早",4.5,T10="午",4,T10="晚",4,T10="x",0,T10="X",0,T10="",0,TRUE,0),IF(ISNUMBER(FIND(" ",T10)),VALUE(MID(T10,FIND(" ",T10)+1,10))-VALUE(LEFT(T10,FIND(" ",T10)-1)),0))</f>
        <v>0</v>
      </c>
      <c r="U34" s="2" cm="1">
        <f t="array" ref="U34">IF(OR(U10="M",U10="M8",U10="M9",U10="M10",U10="M15",U10="M16",U10="E",U10="E13",U10="E14",U10="E15",U10="E16",U10="A",U10="S",U10="O",U10="早",U10="午",U10="晚",U10="x",U10="X",U10=""),_xlfn.IFS(U10="M",9,U10="M8",5,U10="M9",9,U10="M10",8,U10="M15",7,U10="M16",8,U10="E",5,U10="E13",9,U10="E14",8,U10="E15",7,U10="E16",6,U10="A",10,U10="S",9,U10="O",0,U10="早",4.5,U10="午",4,U10="晚",4,U10="x",0,U10="X",0,U10="",0,TRUE,0),IF(ISNUMBER(FIND(" ",U10)),VALUE(MID(U10,FIND(" ",U10)+1,10))-VALUE(LEFT(U10,FIND(" ",U10)-1)),0))</f>
        <v>0</v>
      </c>
      <c r="V34" s="2" cm="1">
        <f t="array" ref="V34">IF(OR(V10="M",V10="M8",V10="M9",V10="M10",V10="M15",V10="M16",V10="E",V10="E13",V10="E14",V10="E15",V10="E16",V10="A",V10="S",V10="O",V10="早",V10="午",V10="晚",V10="x",V10="X",V10=""),_xlfn.IFS(V10="M",9,V10="M8",5,V10="M9",9,V10="M10",8,V10="M15",7,V10="M16",8,V10="E",5,V10="E13",9,V10="E14",8,V10="E15",7,V10="E16",6,V10="A",10,V10="S",9,V10="O",0,V10="早",4.5,V10="午",4,V10="晚",4,V10="x",0,V10="X",0,V10="",0,TRUE,0),IF(ISNUMBER(FIND(" ",V10)),VALUE(MID(V10,FIND(" ",V10)+1,10))-VALUE(LEFT(V10,FIND(" ",V10)-1)),0))</f>
        <v>0</v>
      </c>
      <c r="W34" s="2" cm="1">
        <f t="array" ref="W34">IF(OR(W10="M",W10="M8",W10="M9",W10="M10",W10="M15",W10="M16",W10="E",W10="E13",W10="E14",W10="E15",W10="E16",W10="A",W10="S",W10="O",W10="早",W10="午",W10="晚",W10="x",W10="X",W10=""),_xlfn.IFS(W10="M",9,W10="M8",5,W10="M9",9,W10="M10",8,W10="M15",7,W10="M16",8,W10="E",5,W10="E13",9,W10="E14",8,W10="E15",7,W10="E16",6,W10="A",10,W10="S",9,W10="O",0,W10="早",4.5,W10="午",4,W10="晚",4,W10="x",0,W10="X",0,W10="",0,TRUE,0),IF(ISNUMBER(FIND(" ",W10)),VALUE(MID(W10,FIND(" ",W10)+1,10))-VALUE(LEFT(W10,FIND(" ",W10)-1)),0))</f>
        <v>0</v>
      </c>
      <c r="X34" s="2" cm="1">
        <f t="array" ref="X34">IF(OR(X10="M",X10="M8",X10="M9",X10="M10",X10="M15",X10="M16",X10="E",X10="E13",X10="E14",X10="E15",X10="E16",X10="A",X10="S",X10="O",X10="早",X10="午",X10="晚",X10="x",X10="X",X10=""),_xlfn.IFS(X10="M",9,X10="M8",5,X10="M9",9,X10="M10",8,X10="M15",7,X10="M16",8,X10="E",5,X10="E13",9,X10="E14",8,X10="E15",7,X10="E16",6,X10="A",10,X10="S",9,X10="O",0,X10="早",4.5,X10="午",4,X10="晚",4,X10="x",0,X10="X",0,X10="",0,TRUE,0),IF(ISNUMBER(FIND(" ",X10)),VALUE(MID(X10,FIND(" ",X10)+1,10))-VALUE(LEFT(X10,FIND(" ",X10)-1)),0))</f>
        <v>4</v>
      </c>
      <c r="Y34" s="2" cm="1">
        <f t="array" ref="Y34">IF(OR(Y10="M",Y10="M8",Y10="M9",Y10="M10",Y10="M15",Y10="M16",Y10="E",Y10="E13",Y10="E14",Y10="E15",Y10="E16",Y10="A",Y10="S",Y10="O",Y10="早",Y10="午",Y10="晚",Y10="x",Y10="X",Y10=""),_xlfn.IFS(Y10="M",9,Y10="M8",5,Y10="M9",9,Y10="M10",8,Y10="M15",7,Y10="M16",8,Y10="E",5,Y10="E13",9,Y10="E14",8,Y10="E15",7,Y10="E16",6,Y10="A",10,Y10="S",9,Y10="O",0,Y10="早",4.5,Y10="午",4,Y10="晚",4,Y10="x",0,Y10="X",0,Y10="",0,TRUE,0),IF(ISNUMBER(FIND(" ",Y10)),VALUE(MID(Y10,FIND(" ",Y10)+1,10))-VALUE(LEFT(Y10,FIND(" ",Y10)-1)),0))</f>
        <v>4</v>
      </c>
      <c r="Z34" s="2" cm="1">
        <f t="array" ref="Z34">IF(OR(Z10="M",Z10="M8",Z10="M9",Z10="M10",Z10="M15",Z10="M16",Z10="E",Z10="E13",Z10="E14",Z10="E15",Z10="E16",Z10="A",Z10="S",Z10="O",Z10="早",Z10="午",Z10="晚",Z10="x",Z10="X",Z10=""),_xlfn.IFS(Z10="M",9,Z10="M8",5,Z10="M9",9,Z10="M10",8,Z10="M15",7,Z10="M16",8,Z10="E",5,Z10="E13",9,Z10="E14",8,Z10="E15",7,Z10="E16",6,Z10="A",10,Z10="S",9,Z10="O",0,Z10="早",4.5,Z10="午",4,Z10="晚",4,Z10="x",0,Z10="X",0,Z10="",0,TRUE,0),IF(ISNUMBER(FIND(" ",Z10)),VALUE(MID(Z10,FIND(" ",Z10)+1,10))-VALUE(LEFT(Z10,FIND(" ",Z10)-1)),0))</f>
        <v>4</v>
      </c>
      <c r="AA34" s="2" cm="1">
        <f t="array" ref="AA34">IF(OR(AA10="M",AA10="M8",AA10="M9",AA10="M10",AA10="M15",AA10="M16",AA10="E",AA10="E13",AA10="E14",AA10="E15",AA10="E16",AA10="A",AA10="S",AA10="O",AA10="早",AA10="午",AA10="晚",AA10="x",AA10="X",AA10=""),_xlfn.IFS(AA10="M",9,AA10="M8",5,AA10="M9",9,AA10="M10",8,AA10="M15",7,AA10="M16",8,AA10="E",5,AA10="E13",9,AA10="E14",8,AA10="E15",7,AA10="E16",6,AA10="A",10,AA10="S",9,AA10="O",0,AA10="早",4.5,AA10="午",4,AA10="晚",4,AA10="x",0,AA10="X",0,AA10="",0,TRUE,0),IF(ISNUMBER(FIND(" ",AA10)),VALUE(MID(AA10,FIND(" ",AA10)+1,10))-VALUE(LEFT(AA10,FIND(" ",AA10)-1)),0))</f>
        <v>0</v>
      </c>
      <c r="AB34" s="2" cm="1">
        <f t="array" ref="AB34">IF(OR(AB10="M",AB10="M8",AB10="M9",AB10="M10",AB10="M15",AB10="M16",AB10="E",AB10="E13",AB10="E14",AB10="E15",AB10="E16",AB10="A",AB10="S",AB10="O",AB10="早",AB10="午",AB10="晚",AB10="x",AB10="X",AB10=""),_xlfn.IFS(AB10="M",9,AB10="M8",5,AB10="M9",9,AB10="M10",8,AB10="M15",7,AB10="M16",8,AB10="E",5,AB10="E13",9,AB10="E14",8,AB10="E15",7,AB10="E16",6,AB10="A",10,AB10="S",9,AB10="O",0,AB10="早",4.5,AB10="午",4,AB10="晚",4,AB10="x",0,AB10="X",0,AB10="",0,TRUE,0),IF(ISNUMBER(FIND(" ",AB10)),VALUE(MID(AB10,FIND(" ",AB10)+1,10))-VALUE(LEFT(AB10,FIND(" ",AB10)-1)),0))</f>
        <v>4.5</v>
      </c>
      <c r="AC34" s="2" cm="1">
        <f t="array" ref="AC34">IF(OR(AC10="M",AC10="M8",AC10="M9",AC10="M10",AC10="M15",AC10="M16",AC10="E",AC10="E13",AC10="E14",AC10="E15",AC10="E16",AC10="A",AC10="S",AC10="O",AC10="早",AC10="午",AC10="晚",AC10="x",AC10="X",AC10=""),_xlfn.IFS(AC10="M",9,AC10="M8",5,AC10="M9",9,AC10="M10",8,AC10="M15",7,AC10="M16",8,AC10="E",5,AC10="E13",9,AC10="E14",8,AC10="E15",7,AC10="E16",6,AC10="A",10,AC10="S",9,AC10="O",0,AC10="早",4.5,AC10="午",4,AC10="晚",4,AC10="x",0,AC10="X",0,AC10="",0,TRUE,0),IF(ISNUMBER(FIND(" ",AC10)),VALUE(MID(AC10,FIND(" ",AC10)+1,10))-VALUE(LEFT(AC10,FIND(" ",AC10)-1)),0))</f>
        <v>0</v>
      </c>
      <c r="AD34" s="2" cm="1">
        <f t="array" ref="AD34">IF(OR(AD10="M",AD10="M8",AD10="M9",AD10="M10",AD10="M15",AD10="M16",AD10="E",AD10="E13",AD10="E14",AD10="E15",AD10="E16",AD10="A",AD10="S",AD10="O",AD10="早",AD10="午",AD10="晚",AD10="x",AD10="X",AD10=""),_xlfn.IFS(AD10="M",9,AD10="M8",5,AD10="M9",9,AD10="M10",8,AD10="M15",7,AD10="M16",8,AD10="E",5,AD10="E13",9,AD10="E14",8,AD10="E15",7,AD10="E16",6,AD10="A",10,AD10="S",9,AD10="O",0,AD10="早",4.5,AD10="午",4,AD10="晚",4,AD10="x",0,AD10="X",0,AD10="",0,TRUE,0),IF(ISNUMBER(FIND(" ",AD10)),VALUE(MID(AD10,FIND(" ",AD10)+1,10))-VALUE(LEFT(AD10,FIND(" ",AD10)-1)),0))</f>
        <v>4</v>
      </c>
      <c r="AE34" s="2" cm="1">
        <f t="array" ref="AE34">IF(OR(AE10="M",AE10="M8",AE10="M9",AE10="M10",AE10="M15",AE10="M16",AE10="E",AE10="E13",AE10="E14",AE10="E15",AE10="E16",AE10="A",AE10="S",AE10="O",AE10="早",AE10="午",AE10="晚",AE10="x",AE10="X",AE10=""),_xlfn.IFS(AE10="M",9,AE10="M8",5,AE10="M9",9,AE10="M10",8,AE10="M15",7,AE10="M16",8,AE10="E",5,AE10="E13",9,AE10="E14",8,AE10="E15",7,AE10="E16",6,AE10="A",10,AE10="S",9,AE10="O",0,AE10="早",4.5,AE10="午",4,AE10="晚",4,AE10="x",0,AE10="X",0,AE10="",0,TRUE,0),IF(ISNUMBER(FIND(" ",AE10)),VALUE(MID(AE10,FIND(" ",AE10)+1,10))-VALUE(LEFT(AE10,FIND(" ",AE10)-1)),0))</f>
        <v>4</v>
      </c>
      <c r="AF34" s="2" cm="1">
        <f t="array" ref="AF34">IF(OR(AF10="M",AF10="M8",AF10="M9",AF10="M10",AF10="M15",AF10="M16",AF10="E",AF10="E13",AF10="E14",AF10="E15",AF10="E16",AF10="A",AF10="S",AF10="O",AF10="早",AF10="午",AF10="晚",AF10="x",AF10="X",AF10=""),_xlfn.IFS(AF10="M",9,AF10="M8",5,AF10="M9",9,AF10="M10",8,AF10="M15",7,AF10="M16",8,AF10="E",5,AF10="E13",9,AF10="E14",8,AF10="E15",7,AF10="E16",6,AF10="A",10,AF10="S",9,AF10="O",0,AF10="早",4.5,AF10="午",4,AF10="晚",4,AF10="x",0,AF10="X",0,AF10="",0,TRUE,0),IF(ISNUMBER(FIND(" ",AF10)),VALUE(MID(AF10,FIND(" ",AF10)+1,10))-VALUE(LEFT(AF10,FIND(" ",AF10)-1)),0))</f>
        <v>0</v>
      </c>
      <c r="AG34" s="1">
        <f t="shared" si="3"/>
        <v>65</v>
      </c>
    </row>
  </sheetData>
  <mergeCells count="6">
    <mergeCell ref="AB1:AC1"/>
    <mergeCell ref="D1:N1"/>
    <mergeCell ref="P1:T1"/>
    <mergeCell ref="V1:W1"/>
    <mergeCell ref="X1:Y1"/>
    <mergeCell ref="Z1:AA1"/>
  </mergeCells>
  <phoneticPr fontId="1" type="noConversion"/>
  <conditionalFormatting sqref="B2:AF3">
    <cfRule type="expression" dxfId="3" priority="1">
      <formula>WEEKDAY(DATE($V$1+1911,$Z$1,COLUMN(A:A)),1)=1</formula>
    </cfRule>
    <cfRule type="expression" dxfId="2" priority="2">
      <formula>WEEKDAY(DATE($V$1+1911,$Z$1,COLUMN(A:A)),1)=7</formula>
    </cfRule>
  </conditionalFormatting>
  <dataValidations count="1">
    <dataValidation type="list" allowBlank="1" showInputMessage="1" showErrorMessage="1" sqref="M19 B4:AF7" xr:uid="{BADA3D9B-C8C4-4F4F-90FB-C7F03927C046}">
      <formula1>$A$13:$A$26</formula1>
    </dataValidation>
  </dataValidations>
  <printOptions horizontalCentered="1"/>
  <pageMargins left="0.25" right="0.25" top="0.75" bottom="0.75" header="0.3" footer="0.3"/>
  <pageSetup paperSize="9" scale="69" orientation="landscape" horizontalDpi="180" verticalDpi="18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Spinner 1">
              <controlPr defaultSize="0" print="0" autoPict="0">
                <anchor moveWithCells="1" sizeWithCells="1">
                  <from>
                    <xdr:col>32</xdr:col>
                    <xdr:colOff>114300</xdr:colOff>
                    <xdr:row>0</xdr:row>
                    <xdr:rowOff>25400</xdr:rowOff>
                  </from>
                  <to>
                    <xdr:col>32</xdr:col>
                    <xdr:colOff>520700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Spinner 2">
              <controlPr defaultSize="0" print="0" autoPict="0">
                <anchor moveWithCells="1" sizeWithCells="1">
                  <from>
                    <xdr:col>33</xdr:col>
                    <xdr:colOff>177800</xdr:colOff>
                    <xdr:row>0</xdr:row>
                    <xdr:rowOff>12700</xdr:rowOff>
                  </from>
                  <to>
                    <xdr:col>34</xdr:col>
                    <xdr:colOff>12700</xdr:colOff>
                    <xdr:row>1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866F-8979-734A-9A23-D2367BFE71BB}">
  <dimension ref="A1:AS34"/>
  <sheetViews>
    <sheetView tabSelected="1" workbookViewId="0">
      <selection activeCell="T18" sqref="T18"/>
    </sheetView>
  </sheetViews>
  <sheetFormatPr baseColWidth="10" defaultColWidth="9" defaultRowHeight="15"/>
  <cols>
    <col min="1" max="1" width="12.6640625" style="1" bestFit="1" customWidth="1"/>
    <col min="2" max="32" width="5.1640625" style="2" customWidth="1"/>
    <col min="33" max="33" width="8" style="1" bestFit="1" customWidth="1"/>
    <col min="34" max="34" width="6.1640625" style="1" customWidth="1"/>
    <col min="35" max="35" width="7.1640625" style="1" customWidth="1"/>
    <col min="36" max="16384" width="9" style="1"/>
  </cols>
  <sheetData>
    <row r="1" spans="1:45" ht="19">
      <c r="A1" s="38"/>
      <c r="B1" s="11"/>
      <c r="D1" s="54" t="s">
        <v>24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3"/>
      <c r="P1" s="54" t="s">
        <v>25</v>
      </c>
      <c r="Q1" s="54"/>
      <c r="R1" s="54"/>
      <c r="S1" s="54"/>
      <c r="T1" s="54"/>
      <c r="V1" s="53">
        <v>115</v>
      </c>
      <c r="W1" s="53"/>
      <c r="X1" s="53" t="s">
        <v>0</v>
      </c>
      <c r="Y1" s="53"/>
      <c r="Z1" s="53">
        <v>7</v>
      </c>
      <c r="AA1" s="53"/>
      <c r="AB1" s="53" t="s">
        <v>1</v>
      </c>
      <c r="AC1" s="53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ht="20" customHeight="1">
      <c r="A2" s="39" t="s">
        <v>2</v>
      </c>
      <c r="B2" s="15">
        <f t="shared" ref="B2:AF2" si="0">IF(MONTH(DATE($V$1+1911,$Z$1,COLUMN(A:A)))=$Z$1,DAY(DATE($V$1+1911,$Z$1,COLUMN(A:A))),"")</f>
        <v>1</v>
      </c>
      <c r="C2" s="15">
        <f t="shared" si="0"/>
        <v>2</v>
      </c>
      <c r="D2" s="15">
        <f t="shared" si="0"/>
        <v>3</v>
      </c>
      <c r="E2" s="15">
        <f t="shared" si="0"/>
        <v>4</v>
      </c>
      <c r="F2" s="15">
        <f t="shared" si="0"/>
        <v>5</v>
      </c>
      <c r="G2" s="15">
        <f t="shared" si="0"/>
        <v>6</v>
      </c>
      <c r="H2" s="15">
        <f t="shared" si="0"/>
        <v>7</v>
      </c>
      <c r="I2" s="15">
        <f t="shared" si="0"/>
        <v>8</v>
      </c>
      <c r="J2" s="55">
        <f t="shared" si="0"/>
        <v>9</v>
      </c>
      <c r="K2" s="15">
        <f t="shared" si="0"/>
        <v>10</v>
      </c>
      <c r="L2" s="15">
        <f t="shared" si="0"/>
        <v>11</v>
      </c>
      <c r="M2" s="15">
        <f t="shared" si="0"/>
        <v>12</v>
      </c>
      <c r="N2" s="15">
        <f t="shared" si="0"/>
        <v>13</v>
      </c>
      <c r="O2" s="15">
        <f t="shared" si="0"/>
        <v>14</v>
      </c>
      <c r="P2" s="15">
        <f t="shared" si="0"/>
        <v>15</v>
      </c>
      <c r="Q2" s="15">
        <f t="shared" si="0"/>
        <v>16</v>
      </c>
      <c r="R2" s="15">
        <f t="shared" si="0"/>
        <v>17</v>
      </c>
      <c r="S2" s="15">
        <f t="shared" si="0"/>
        <v>18</v>
      </c>
      <c r="T2" s="46">
        <f t="shared" si="0"/>
        <v>19</v>
      </c>
      <c r="U2" s="17">
        <f t="shared" si="0"/>
        <v>20</v>
      </c>
      <c r="V2" s="15">
        <f t="shared" si="0"/>
        <v>21</v>
      </c>
      <c r="W2" s="15">
        <f t="shared" si="0"/>
        <v>22</v>
      </c>
      <c r="X2" s="15">
        <f t="shared" si="0"/>
        <v>23</v>
      </c>
      <c r="Y2" s="15">
        <f t="shared" si="0"/>
        <v>24</v>
      </c>
      <c r="Z2" s="15">
        <f t="shared" si="0"/>
        <v>25</v>
      </c>
      <c r="AA2" s="15">
        <f t="shared" si="0"/>
        <v>26</v>
      </c>
      <c r="AB2" s="17">
        <f t="shared" si="0"/>
        <v>27</v>
      </c>
      <c r="AC2" s="15">
        <f t="shared" si="0"/>
        <v>28</v>
      </c>
      <c r="AD2" s="15">
        <f t="shared" si="0"/>
        <v>29</v>
      </c>
      <c r="AE2" s="15">
        <f t="shared" si="0"/>
        <v>30</v>
      </c>
      <c r="AF2" s="15">
        <f t="shared" si="0"/>
        <v>31</v>
      </c>
      <c r="AG2" s="5" t="s">
        <v>51</v>
      </c>
    </row>
    <row r="3" spans="1:45" ht="16">
      <c r="A3" s="40" t="s">
        <v>3</v>
      </c>
      <c r="B3" s="16" t="str">
        <f t="shared" ref="B3:AF3" si="1">IF(B2&lt;&gt;"",RIGHT(TEXT(DATE($V$1+1911,$Z$1,COLUMN(A:A)),"aaa"),1),"")</f>
        <v>三</v>
      </c>
      <c r="C3" s="16" t="str">
        <f t="shared" si="1"/>
        <v>四</v>
      </c>
      <c r="D3" s="16" t="str">
        <f t="shared" si="1"/>
        <v>五</v>
      </c>
      <c r="E3" s="16" t="str">
        <f t="shared" si="1"/>
        <v>六</v>
      </c>
      <c r="F3" s="16" t="str">
        <f t="shared" si="1"/>
        <v>日</v>
      </c>
      <c r="G3" s="16" t="str">
        <f t="shared" si="1"/>
        <v>一</v>
      </c>
      <c r="H3" s="16" t="str">
        <f t="shared" si="1"/>
        <v>二</v>
      </c>
      <c r="I3" s="16" t="str">
        <f t="shared" si="1"/>
        <v>三</v>
      </c>
      <c r="J3" s="56" t="str">
        <f t="shared" si="1"/>
        <v>四</v>
      </c>
      <c r="K3" s="16" t="str">
        <f t="shared" si="1"/>
        <v>五</v>
      </c>
      <c r="L3" s="16" t="str">
        <f t="shared" si="1"/>
        <v>六</v>
      </c>
      <c r="M3" s="16" t="str">
        <f t="shared" si="1"/>
        <v>日</v>
      </c>
      <c r="N3" s="16" t="str">
        <f t="shared" si="1"/>
        <v>一</v>
      </c>
      <c r="O3" s="16" t="str">
        <f t="shared" si="1"/>
        <v>二</v>
      </c>
      <c r="P3" s="16" t="str">
        <f t="shared" si="1"/>
        <v>三</v>
      </c>
      <c r="Q3" s="16" t="str">
        <f t="shared" si="1"/>
        <v>四</v>
      </c>
      <c r="R3" s="16" t="str">
        <f t="shared" si="1"/>
        <v>五</v>
      </c>
      <c r="S3" s="16" t="str">
        <f t="shared" si="1"/>
        <v>六</v>
      </c>
      <c r="T3" s="47" t="str">
        <f t="shared" si="1"/>
        <v>日</v>
      </c>
      <c r="U3" s="18" t="str">
        <f t="shared" si="1"/>
        <v>一</v>
      </c>
      <c r="V3" s="16" t="str">
        <f t="shared" si="1"/>
        <v>二</v>
      </c>
      <c r="W3" s="16" t="str">
        <f t="shared" si="1"/>
        <v>三</v>
      </c>
      <c r="X3" s="16" t="str">
        <f t="shared" si="1"/>
        <v>四</v>
      </c>
      <c r="Y3" s="16" t="str">
        <f t="shared" si="1"/>
        <v>五</v>
      </c>
      <c r="Z3" s="16" t="str">
        <f t="shared" si="1"/>
        <v>六</v>
      </c>
      <c r="AA3" s="16" t="str">
        <f t="shared" si="1"/>
        <v>日</v>
      </c>
      <c r="AB3" s="18" t="str">
        <f t="shared" si="1"/>
        <v>一</v>
      </c>
      <c r="AC3" s="16" t="str">
        <f t="shared" si="1"/>
        <v>二</v>
      </c>
      <c r="AD3" s="16" t="str">
        <f t="shared" si="1"/>
        <v>三</v>
      </c>
      <c r="AE3" s="20" t="str">
        <f t="shared" si="1"/>
        <v>四</v>
      </c>
      <c r="AF3" s="20" t="str">
        <f t="shared" si="1"/>
        <v>五</v>
      </c>
      <c r="AG3" s="5" t="s">
        <v>67</v>
      </c>
    </row>
    <row r="4" spans="1:45" ht="16">
      <c r="A4" s="41" t="s">
        <v>4</v>
      </c>
      <c r="B4" s="35" t="s">
        <v>59</v>
      </c>
      <c r="C4" s="35" t="s">
        <v>68</v>
      </c>
      <c r="D4" s="51" t="s">
        <v>58</v>
      </c>
      <c r="E4" s="35" t="s">
        <v>56</v>
      </c>
      <c r="F4" s="35" t="s">
        <v>58</v>
      </c>
      <c r="G4" s="35" t="s">
        <v>59</v>
      </c>
      <c r="H4" s="35" t="s">
        <v>56</v>
      </c>
      <c r="I4" s="51" t="s">
        <v>58</v>
      </c>
      <c r="J4" s="35" t="s">
        <v>56</v>
      </c>
      <c r="K4" s="35" t="s">
        <v>68</v>
      </c>
      <c r="L4" s="35" t="s">
        <v>58</v>
      </c>
      <c r="M4" s="35" t="s">
        <v>5</v>
      </c>
      <c r="N4" s="35" t="s">
        <v>56</v>
      </c>
      <c r="O4" s="35" t="s">
        <v>58</v>
      </c>
      <c r="P4" s="35" t="s">
        <v>59</v>
      </c>
      <c r="Q4" s="35" t="s">
        <v>56</v>
      </c>
      <c r="R4" s="35" t="s">
        <v>58</v>
      </c>
      <c r="S4" s="35" t="s">
        <v>59</v>
      </c>
      <c r="T4" s="35" t="s">
        <v>5</v>
      </c>
      <c r="U4" s="35" t="s">
        <v>56</v>
      </c>
      <c r="V4" s="35" t="s">
        <v>58</v>
      </c>
      <c r="W4" s="35" t="s">
        <v>59</v>
      </c>
      <c r="X4" s="35" t="s">
        <v>56</v>
      </c>
      <c r="Y4" s="51" t="s">
        <v>58</v>
      </c>
      <c r="Z4" s="35" t="s">
        <v>69</v>
      </c>
      <c r="AA4" s="35" t="s">
        <v>58</v>
      </c>
      <c r="AB4" s="35" t="s">
        <v>59</v>
      </c>
      <c r="AC4" s="51" t="s">
        <v>59</v>
      </c>
      <c r="AD4" s="35" t="s">
        <v>56</v>
      </c>
      <c r="AE4" s="35" t="s">
        <v>56</v>
      </c>
      <c r="AF4" s="51" t="s">
        <v>58</v>
      </c>
      <c r="AG4" s="5">
        <f t="shared" ref="AG4:AG10" si="2">SUM(B28:AF28)</f>
        <v>153</v>
      </c>
    </row>
    <row r="5" spans="1:45" ht="16">
      <c r="A5" s="41" t="s">
        <v>6</v>
      </c>
      <c r="B5" s="35" t="s">
        <v>56</v>
      </c>
      <c r="C5" s="35" t="s">
        <v>58</v>
      </c>
      <c r="D5" s="51" t="s">
        <v>58</v>
      </c>
      <c r="E5" s="35" t="s">
        <v>59</v>
      </c>
      <c r="F5" s="35" t="s">
        <v>58</v>
      </c>
      <c r="G5" s="35" t="s">
        <v>60</v>
      </c>
      <c r="H5" s="35" t="s">
        <v>59</v>
      </c>
      <c r="I5" s="51" t="s">
        <v>58</v>
      </c>
      <c r="J5" s="35" t="s">
        <v>58</v>
      </c>
      <c r="K5" s="35" t="s">
        <v>59</v>
      </c>
      <c r="L5" s="35" t="s">
        <v>59</v>
      </c>
      <c r="M5" s="35" t="s">
        <v>58</v>
      </c>
      <c r="N5" s="35" t="s">
        <v>60</v>
      </c>
      <c r="O5" s="35" t="s">
        <v>59</v>
      </c>
      <c r="P5" s="35" t="s">
        <v>58</v>
      </c>
      <c r="Q5" s="35" t="s">
        <v>59</v>
      </c>
      <c r="R5" s="35" t="s">
        <v>59</v>
      </c>
      <c r="S5" s="48" t="s">
        <v>58</v>
      </c>
      <c r="T5" s="48" t="s">
        <v>58</v>
      </c>
      <c r="U5" s="35" t="s">
        <v>60</v>
      </c>
      <c r="V5" s="35" t="s">
        <v>56</v>
      </c>
      <c r="W5" s="35" t="s">
        <v>56</v>
      </c>
      <c r="X5" s="48" t="s">
        <v>58</v>
      </c>
      <c r="Y5" s="51" t="s">
        <v>59</v>
      </c>
      <c r="Z5" s="35" t="s">
        <v>58</v>
      </c>
      <c r="AA5" s="35" t="s">
        <v>5</v>
      </c>
      <c r="AB5" s="35" t="s">
        <v>56</v>
      </c>
      <c r="AC5" s="51" t="s">
        <v>58</v>
      </c>
      <c r="AD5" s="35" t="s">
        <v>59</v>
      </c>
      <c r="AE5" s="35" t="s">
        <v>59</v>
      </c>
      <c r="AF5" s="51" t="s">
        <v>59</v>
      </c>
      <c r="AG5" s="5">
        <f t="shared" si="2"/>
        <v>156</v>
      </c>
    </row>
    <row r="6" spans="1:45" ht="30" customHeight="1">
      <c r="A6" s="42" t="s">
        <v>43</v>
      </c>
      <c r="B6" s="48" t="s">
        <v>58</v>
      </c>
      <c r="C6" s="35" t="s">
        <v>59</v>
      </c>
      <c r="D6" s="51" t="s">
        <v>59</v>
      </c>
      <c r="E6" s="35" t="s">
        <v>58</v>
      </c>
      <c r="F6" s="35" t="s">
        <v>5</v>
      </c>
      <c r="G6" s="35" t="s">
        <v>56</v>
      </c>
      <c r="H6" s="35" t="s">
        <v>58</v>
      </c>
      <c r="I6" s="51" t="s">
        <v>59</v>
      </c>
      <c r="J6" s="35" t="s">
        <v>59</v>
      </c>
      <c r="K6" s="35" t="s">
        <v>56</v>
      </c>
      <c r="L6" s="35" t="s">
        <v>56</v>
      </c>
      <c r="M6" s="35" t="s">
        <v>58</v>
      </c>
      <c r="N6" s="35" t="s">
        <v>59</v>
      </c>
      <c r="O6" s="35" t="s">
        <v>56</v>
      </c>
      <c r="P6" s="35" t="s">
        <v>56</v>
      </c>
      <c r="Q6" s="35" t="s">
        <v>58</v>
      </c>
      <c r="R6" s="35" t="s">
        <v>56</v>
      </c>
      <c r="S6" s="35" t="s">
        <v>56</v>
      </c>
      <c r="T6" s="35" t="s">
        <v>58</v>
      </c>
      <c r="U6" s="35" t="s">
        <v>61</v>
      </c>
      <c r="V6" s="35" t="s">
        <v>59</v>
      </c>
      <c r="W6" s="35" t="s">
        <v>58</v>
      </c>
      <c r="X6" s="35" t="s">
        <v>59</v>
      </c>
      <c r="Y6" s="51" t="s">
        <v>58</v>
      </c>
      <c r="Z6" s="35" t="s">
        <v>70</v>
      </c>
      <c r="AA6" s="48" t="s">
        <v>58</v>
      </c>
      <c r="AB6" s="48" t="s">
        <v>58</v>
      </c>
      <c r="AC6" s="57" t="s">
        <v>58</v>
      </c>
      <c r="AD6" s="48" t="s">
        <v>58</v>
      </c>
      <c r="AE6" s="48" t="s">
        <v>58</v>
      </c>
      <c r="AF6" s="57" t="s">
        <v>58</v>
      </c>
      <c r="AG6" s="5">
        <f t="shared" si="2"/>
        <v>120</v>
      </c>
      <c r="AH6" s="1">
        <f>AG6-152+32</f>
        <v>0</v>
      </c>
    </row>
    <row r="7" spans="1:45" ht="16" thickBot="1">
      <c r="A7" s="43" t="s">
        <v>7</v>
      </c>
      <c r="B7" s="35"/>
      <c r="C7" s="35"/>
      <c r="D7" s="51" t="s">
        <v>56</v>
      </c>
      <c r="E7" s="35"/>
      <c r="F7" s="35"/>
      <c r="G7" s="35"/>
      <c r="H7" s="35"/>
      <c r="I7" s="51" t="s">
        <v>56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51" t="s">
        <v>56</v>
      </c>
      <c r="Z7" s="35"/>
      <c r="AA7" s="35"/>
      <c r="AB7" s="35"/>
      <c r="AC7" s="51" t="s">
        <v>56</v>
      </c>
      <c r="AD7" s="35"/>
      <c r="AE7" s="35"/>
      <c r="AF7" s="51" t="s">
        <v>56</v>
      </c>
      <c r="AG7" s="10">
        <f t="shared" si="2"/>
        <v>25</v>
      </c>
    </row>
    <row r="8" spans="1:45" ht="33" thickTop="1">
      <c r="A8" s="44" t="s">
        <v>39</v>
      </c>
      <c r="B8" s="49" t="s">
        <v>57</v>
      </c>
      <c r="C8" s="49" t="s">
        <v>57</v>
      </c>
      <c r="D8" s="49" t="s">
        <v>57</v>
      </c>
      <c r="E8" s="49" t="s">
        <v>57</v>
      </c>
      <c r="F8" s="49" t="s">
        <v>57</v>
      </c>
      <c r="G8" s="49" t="s">
        <v>57</v>
      </c>
      <c r="H8" s="49" t="s">
        <v>40</v>
      </c>
      <c r="I8" s="49" t="s">
        <v>40</v>
      </c>
      <c r="J8" s="49" t="s">
        <v>40</v>
      </c>
      <c r="K8" s="49" t="s">
        <v>57</v>
      </c>
      <c r="L8" s="36" t="s">
        <v>40</v>
      </c>
      <c r="M8" s="36" t="s">
        <v>57</v>
      </c>
      <c r="N8" s="36" t="s">
        <v>57</v>
      </c>
      <c r="O8" s="36" t="s">
        <v>40</v>
      </c>
      <c r="P8" s="36" t="s">
        <v>62</v>
      </c>
      <c r="Q8" s="36" t="s">
        <v>62</v>
      </c>
      <c r="R8" s="36" t="s">
        <v>62</v>
      </c>
      <c r="S8" s="36" t="s">
        <v>57</v>
      </c>
      <c r="T8" s="36" t="s">
        <v>57</v>
      </c>
      <c r="U8" s="36" t="s">
        <v>57</v>
      </c>
      <c r="V8" s="36" t="s">
        <v>62</v>
      </c>
      <c r="W8" s="36" t="s">
        <v>62</v>
      </c>
      <c r="X8" s="36" t="s">
        <v>40</v>
      </c>
      <c r="Y8" s="36" t="s">
        <v>62</v>
      </c>
      <c r="Z8" s="49" t="s">
        <v>57</v>
      </c>
      <c r="AA8" s="36" t="s">
        <v>57</v>
      </c>
      <c r="AB8" s="36" t="s">
        <v>57</v>
      </c>
      <c r="AC8" s="36" t="s">
        <v>62</v>
      </c>
      <c r="AD8" s="36" t="s">
        <v>62</v>
      </c>
      <c r="AE8" s="36" t="s">
        <v>62</v>
      </c>
      <c r="AF8" s="36" t="s">
        <v>40</v>
      </c>
      <c r="AG8" s="14">
        <f t="shared" si="2"/>
        <v>108</v>
      </c>
    </row>
    <row r="9" spans="1:45" ht="32">
      <c r="A9" s="19" t="s">
        <v>36</v>
      </c>
      <c r="B9" s="37" t="s">
        <v>62</v>
      </c>
      <c r="C9" s="37" t="s">
        <v>63</v>
      </c>
      <c r="D9" s="50" t="s">
        <v>45</v>
      </c>
      <c r="E9" s="37" t="s">
        <v>57</v>
      </c>
      <c r="F9" s="50" t="s">
        <v>57</v>
      </c>
      <c r="G9" s="37" t="s">
        <v>57</v>
      </c>
      <c r="H9" s="37" t="s">
        <v>41</v>
      </c>
      <c r="I9" s="58" t="s">
        <v>71</v>
      </c>
      <c r="J9" s="37" t="s">
        <v>41</v>
      </c>
      <c r="K9" s="37" t="s">
        <v>63</v>
      </c>
      <c r="L9" s="37" t="s">
        <v>57</v>
      </c>
      <c r="M9" s="37" t="s">
        <v>57</v>
      </c>
      <c r="N9" s="37" t="s">
        <v>45</v>
      </c>
      <c r="O9" s="37" t="s">
        <v>41</v>
      </c>
      <c r="P9" s="50" t="s">
        <v>57</v>
      </c>
      <c r="Q9" s="50" t="s">
        <v>57</v>
      </c>
      <c r="R9" s="37" t="s">
        <v>45</v>
      </c>
      <c r="S9" s="37" t="s">
        <v>57</v>
      </c>
      <c r="T9" s="37" t="s">
        <v>57</v>
      </c>
      <c r="U9" s="37" t="s">
        <v>41</v>
      </c>
      <c r="V9" s="50" t="s">
        <v>57</v>
      </c>
      <c r="W9" s="50" t="s">
        <v>57</v>
      </c>
      <c r="X9" s="37" t="s">
        <v>41</v>
      </c>
      <c r="Y9" s="50" t="s">
        <v>45</v>
      </c>
      <c r="Z9" s="50" t="s">
        <v>40</v>
      </c>
      <c r="AA9" s="37" t="s">
        <v>57</v>
      </c>
      <c r="AB9" s="37" t="s">
        <v>62</v>
      </c>
      <c r="AC9" s="50" t="s">
        <v>45</v>
      </c>
      <c r="AD9" s="50" t="s">
        <v>57</v>
      </c>
      <c r="AE9" s="50" t="s">
        <v>57</v>
      </c>
      <c r="AF9" s="50" t="s">
        <v>71</v>
      </c>
      <c r="AG9" s="5">
        <f t="shared" si="2"/>
        <v>86.5</v>
      </c>
    </row>
    <row r="10" spans="1:45" ht="32">
      <c r="A10" s="19" t="s">
        <v>49</v>
      </c>
      <c r="B10" s="37" t="s">
        <v>45</v>
      </c>
      <c r="C10" s="37" t="s">
        <v>45</v>
      </c>
      <c r="D10" s="37" t="s">
        <v>57</v>
      </c>
      <c r="E10" s="50" t="s">
        <v>40</v>
      </c>
      <c r="F10" s="50" t="s">
        <v>57</v>
      </c>
      <c r="G10" s="37" t="s">
        <v>45</v>
      </c>
      <c r="H10" s="37" t="s">
        <v>45</v>
      </c>
      <c r="I10" s="50" t="s">
        <v>57</v>
      </c>
      <c r="J10" s="37" t="s">
        <v>72</v>
      </c>
      <c r="K10" s="50" t="s">
        <v>57</v>
      </c>
      <c r="L10" s="50" t="s">
        <v>57</v>
      </c>
      <c r="M10" s="37" t="s">
        <v>57</v>
      </c>
      <c r="N10" s="37" t="s">
        <v>57</v>
      </c>
      <c r="O10" s="37" t="s">
        <v>45</v>
      </c>
      <c r="P10" s="37" t="s">
        <v>45</v>
      </c>
      <c r="Q10" s="37" t="s">
        <v>45</v>
      </c>
      <c r="R10" s="37" t="s">
        <v>57</v>
      </c>
      <c r="S10" s="50" t="s">
        <v>40</v>
      </c>
      <c r="T10" s="37" t="s">
        <v>57</v>
      </c>
      <c r="U10" s="37" t="s">
        <v>45</v>
      </c>
      <c r="V10" s="37" t="s">
        <v>45</v>
      </c>
      <c r="W10" s="37" t="s">
        <v>45</v>
      </c>
      <c r="X10" s="37" t="s">
        <v>45</v>
      </c>
      <c r="Y10" s="50" t="s">
        <v>57</v>
      </c>
      <c r="Z10" s="50" t="s">
        <v>57</v>
      </c>
      <c r="AA10" s="37" t="s">
        <v>57</v>
      </c>
      <c r="AB10" s="37" t="s">
        <v>45</v>
      </c>
      <c r="AC10" s="37" t="s">
        <v>57</v>
      </c>
      <c r="AD10" s="37" t="s">
        <v>45</v>
      </c>
      <c r="AE10" s="37" t="s">
        <v>45</v>
      </c>
      <c r="AF10" s="37" t="s">
        <v>57</v>
      </c>
      <c r="AG10" s="5">
        <f t="shared" si="2"/>
        <v>72</v>
      </c>
    </row>
    <row r="11" spans="1:45" ht="30" customHeight="1">
      <c r="A11" s="19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5"/>
    </row>
    <row r="12" spans="1:45" ht="17" thickBot="1">
      <c r="A12" s="6"/>
      <c r="B12" s="12"/>
      <c r="C12" s="12"/>
      <c r="D12" s="12"/>
      <c r="E12" s="12" t="s">
        <v>4</v>
      </c>
      <c r="F12" s="12" t="s">
        <v>6</v>
      </c>
      <c r="G12" s="22" t="s">
        <v>43</v>
      </c>
      <c r="H12" s="12" t="s">
        <v>7</v>
      </c>
      <c r="I12" s="12"/>
      <c r="J12" s="12"/>
      <c r="K12" s="12"/>
      <c r="L12" s="12"/>
      <c r="M12" s="12"/>
      <c r="N12" s="12"/>
      <c r="O12" s="12"/>
      <c r="P12" s="12"/>
      <c r="Q12" s="3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6">
        <f>SUM(AG4:AG10)</f>
        <v>720.5</v>
      </c>
    </row>
    <row r="13" spans="1:45" ht="18" thickTop="1" thickBot="1">
      <c r="A13" s="6" t="s">
        <v>8</v>
      </c>
      <c r="B13" s="21" t="s">
        <v>9</v>
      </c>
      <c r="C13" s="21">
        <v>9</v>
      </c>
      <c r="D13" s="12"/>
      <c r="E13" s="12">
        <f t="array" ref="E13">SUMPRODUCT(IF($B$4:$AF$4=$A13,1,0))</f>
        <v>7</v>
      </c>
      <c r="F13" s="12">
        <f t="array" ref="F13">SUMPRODUCT(IF($B$5:$AF$5=$A13,1,0))</f>
        <v>11</v>
      </c>
      <c r="G13" s="12">
        <f t="array" ref="G13">SUMPRODUCT(IF($B$6:$AF$6=$A13,1,0))</f>
        <v>7</v>
      </c>
      <c r="H13" s="12">
        <f t="array" ref="H13">SUMPRODUCT(IF($B$7:$AF$7=$A13,1,0))</f>
        <v>0</v>
      </c>
      <c r="I13" s="12">
        <f t="array" ref="I13">SUMPRODUCT(IF($B$9:$AF$9=$A13,1,0))</f>
        <v>0</v>
      </c>
      <c r="J13" s="12"/>
      <c r="K13" s="23" t="s">
        <v>40</v>
      </c>
      <c r="L13" s="24">
        <v>0.35416666666666669</v>
      </c>
      <c r="M13" s="25" t="s">
        <v>44</v>
      </c>
      <c r="N13" s="26">
        <v>0.54166666666666663</v>
      </c>
      <c r="O13" s="12"/>
      <c r="P13" s="12"/>
      <c r="Q13" s="32"/>
      <c r="R13" s="12"/>
      <c r="S13" s="12"/>
      <c r="T13" s="12"/>
      <c r="U13" s="12"/>
      <c r="V13" s="12"/>
      <c r="W13" s="12"/>
      <c r="X13" s="12"/>
      <c r="Y13" s="13"/>
      <c r="Z13" s="13"/>
      <c r="AA13" s="13"/>
      <c r="AB13" s="13"/>
      <c r="AC13" s="13"/>
      <c r="AD13" s="13"/>
      <c r="AE13" s="13"/>
      <c r="AF13" s="13"/>
    </row>
    <row r="14" spans="1:45" ht="17" thickBot="1">
      <c r="A14" s="6" t="s">
        <v>10</v>
      </c>
      <c r="B14" s="21" t="s">
        <v>11</v>
      </c>
      <c r="C14" s="21">
        <v>5</v>
      </c>
      <c r="D14" s="12"/>
      <c r="E14" s="12">
        <f t="array" ref="E14">SUMPRODUCT(IF($B$4:$AF$4=$A14,1,0))</f>
        <v>0</v>
      </c>
      <c r="F14" s="12">
        <f t="array" ref="F14">SUMPRODUCT(IF($B$5:$AF$5=$A14,1,0))</f>
        <v>0</v>
      </c>
      <c r="G14" s="12">
        <f t="array" ref="G14">SUMPRODUCT(IF($B$6:$AF$6=$A14,1,0))</f>
        <v>1</v>
      </c>
      <c r="H14" s="12">
        <f t="array" ref="H14">SUMPRODUCT(IF($B$7:$AF$7=$A14,1,0))</f>
        <v>0</v>
      </c>
      <c r="I14" s="12">
        <f t="array" ref="I14">SUMPRODUCT(IF($B$9:$AF$9=$A14,1,0))</f>
        <v>0</v>
      </c>
      <c r="J14" s="12"/>
      <c r="K14" s="27" t="s">
        <v>41</v>
      </c>
      <c r="L14" s="28">
        <v>0.54166666666666663</v>
      </c>
      <c r="M14" s="29" t="s">
        <v>44</v>
      </c>
      <c r="N14" s="30">
        <v>0.70833333333333337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3"/>
      <c r="Z14" s="13"/>
      <c r="AA14" s="13"/>
      <c r="AB14" s="13"/>
      <c r="AC14" s="13"/>
      <c r="AD14" s="13"/>
      <c r="AE14" s="13"/>
      <c r="AF14" s="13"/>
    </row>
    <row r="15" spans="1:45" ht="17" thickBot="1">
      <c r="A15" s="6" t="s">
        <v>34</v>
      </c>
      <c r="B15" s="21" t="s">
        <v>35</v>
      </c>
      <c r="C15" s="21">
        <v>9</v>
      </c>
      <c r="D15" s="12"/>
      <c r="E15" s="12">
        <f t="array" ref="E15">SUMPRODUCT(IF($B$4:$AF$4=$A15,1,0))</f>
        <v>0</v>
      </c>
      <c r="F15" s="12">
        <f t="array" ref="F15">SUMPRODUCT(IF($B$5:$AF$5=$A15,1,0))</f>
        <v>3</v>
      </c>
      <c r="G15" s="12">
        <f t="array" ref="G15">SUMPRODUCT(IF($B$6:$AF$6=$A15,1,0))</f>
        <v>0</v>
      </c>
      <c r="H15" s="12">
        <f t="array" ref="H15">SUMPRODUCT(IF($B$7:$AF$7=$A15,1,0))</f>
        <v>0</v>
      </c>
      <c r="I15" s="12">
        <f t="array" ref="I15">SUMPRODUCT(IF($B$9:$AF$9=$A15,1,0))</f>
        <v>0</v>
      </c>
      <c r="J15" s="12"/>
      <c r="K15" s="27" t="s">
        <v>45</v>
      </c>
      <c r="L15" s="28">
        <v>0.70833333333333337</v>
      </c>
      <c r="M15" s="29" t="s">
        <v>44</v>
      </c>
      <c r="N15" s="30">
        <v>0.875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3"/>
      <c r="Z15" s="13"/>
      <c r="AA15" s="13"/>
      <c r="AB15" s="13"/>
      <c r="AC15" s="13"/>
      <c r="AD15" s="13"/>
      <c r="AE15" s="13"/>
      <c r="AF15" s="13"/>
    </row>
    <row r="16" spans="1:45" ht="16">
      <c r="A16" s="6" t="s">
        <v>12</v>
      </c>
      <c r="B16" s="21" t="s">
        <v>13</v>
      </c>
      <c r="C16" s="21">
        <v>8</v>
      </c>
      <c r="D16" s="12"/>
      <c r="E16" s="12">
        <f t="array" ref="E16">SUMPRODUCT(IF($B$4:$AF$4=$A16,1,0))</f>
        <v>0</v>
      </c>
      <c r="F16" s="12">
        <f t="array" ref="F16">SUMPRODUCT(IF($B$5:$AF$5=$A16,1,0))</f>
        <v>0</v>
      </c>
      <c r="G16" s="12">
        <f t="array" ref="G16">SUMPRODUCT(IF($B$6:$AF$6=$A16,1,0))</f>
        <v>0</v>
      </c>
      <c r="H16" s="12">
        <f t="array" ref="H16">SUMPRODUCT(IF($B$7:$AF$7=$A16,1,0))</f>
        <v>0</v>
      </c>
      <c r="I16" s="12">
        <f t="array" ref="I16">SUMPRODUCT(IF($B$9:$AF$9=$A16,1,0))</f>
        <v>0</v>
      </c>
      <c r="J16" s="12"/>
      <c r="K16" s="31" t="s">
        <v>37</v>
      </c>
      <c r="L16" s="12"/>
      <c r="M16" s="12" t="s">
        <v>38</v>
      </c>
      <c r="N16" s="12"/>
      <c r="O16" s="12"/>
      <c r="P16" s="12"/>
      <c r="Q16" s="12"/>
      <c r="R16" s="12"/>
      <c r="S16" s="12"/>
      <c r="T16" s="32"/>
      <c r="U16" s="12"/>
      <c r="V16" s="12"/>
      <c r="W16" s="12"/>
      <c r="X16" s="12"/>
      <c r="Y16" s="13"/>
      <c r="Z16" s="13"/>
      <c r="AA16" s="13"/>
      <c r="AB16" s="13"/>
      <c r="AC16" s="13"/>
      <c r="AD16" s="13"/>
      <c r="AE16" s="13"/>
      <c r="AF16" s="13"/>
    </row>
    <row r="17" spans="1:33" ht="17">
      <c r="A17" s="6" t="s">
        <v>32</v>
      </c>
      <c r="B17" s="21" t="s">
        <v>33</v>
      </c>
      <c r="C17" s="21">
        <v>7</v>
      </c>
      <c r="D17" s="12"/>
      <c r="E17" s="12">
        <f t="array" ref="E17">SUMPRODUCT(IF($B$4:$AF$4=$A17,1,0))</f>
        <v>0</v>
      </c>
      <c r="F17" s="12">
        <f t="array" ref="F17">SUMPRODUCT(IF($B$5:$AF$5=$A17,1,0))</f>
        <v>0</v>
      </c>
      <c r="G17" s="12">
        <f t="array" ref="G17">SUMPRODUCT(IF($B$6:$AF$6=$A17,1,0))</f>
        <v>1</v>
      </c>
      <c r="H17" s="12">
        <f t="array" ref="H17">SUMPRODUCT(IF($B$7:$AF$7=$A17,1,0))</f>
        <v>0</v>
      </c>
      <c r="I17" s="12">
        <f t="array" ref="I17">SUMPRODUCT(IF($B$9:$AF$9=$A17,1,0))</f>
        <v>0</v>
      </c>
      <c r="J17" s="12"/>
      <c r="K17" s="12"/>
      <c r="L17" s="12"/>
      <c r="M17" s="12"/>
      <c r="N17" s="33" t="s">
        <v>42</v>
      </c>
      <c r="O17" s="34"/>
      <c r="P17" s="12"/>
      <c r="Q17" s="12"/>
      <c r="R17" s="12"/>
      <c r="S17" s="12"/>
      <c r="T17" s="12"/>
      <c r="U17" s="12"/>
      <c r="V17" s="12"/>
      <c r="W17" s="12"/>
      <c r="X17" s="12"/>
      <c r="Y17" s="13"/>
      <c r="Z17" s="13"/>
      <c r="AA17" s="13"/>
      <c r="AB17" s="13"/>
      <c r="AC17" s="13"/>
      <c r="AD17" s="13"/>
      <c r="AE17" s="13"/>
      <c r="AF17" s="13"/>
    </row>
    <row r="18" spans="1:33">
      <c r="A18" s="6" t="s">
        <v>19</v>
      </c>
      <c r="B18" s="6" t="s">
        <v>20</v>
      </c>
      <c r="C18" s="6">
        <v>8</v>
      </c>
      <c r="D18" s="7"/>
      <c r="E18" s="7">
        <f t="array" ref="E18">SUMPRODUCT(IF($B$4:$AF$4=$A18,1,0))</f>
        <v>0</v>
      </c>
      <c r="F18" s="7">
        <f t="array" ref="F18">SUMPRODUCT(IF($B$5:$AF$5=$A18,1,0))</f>
        <v>0</v>
      </c>
      <c r="G18" s="7">
        <f t="array" ref="G18">SUMPRODUCT(IF($B$6:$AF$6=$A18,1,0))</f>
        <v>0</v>
      </c>
      <c r="H18" s="7">
        <f t="array" ref="H18">SUMPRODUCT(IF($B$7:$AF$7=$A18,1,0))</f>
        <v>0</v>
      </c>
      <c r="I18" s="7">
        <f t="array" ref="I18">SUMPRODUCT(IF($B$9:$AF$9=$A18,1,0))</f>
        <v>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1"/>
      <c r="Z18" s="1"/>
      <c r="AA18" s="1"/>
      <c r="AB18" s="1"/>
      <c r="AC18" s="1"/>
      <c r="AD18" s="1"/>
      <c r="AE18" s="1"/>
      <c r="AF18" s="1"/>
    </row>
    <row r="19" spans="1:33">
      <c r="A19" s="6" t="s">
        <v>14</v>
      </c>
      <c r="B19" s="6" t="s">
        <v>15</v>
      </c>
      <c r="C19" s="6">
        <v>5</v>
      </c>
      <c r="D19" s="7"/>
      <c r="E19" s="7">
        <f t="array" ref="E19">SUMPRODUCT(IF($B$4:$AF$4=$A19,1,0))</f>
        <v>9</v>
      </c>
      <c r="F19" s="7">
        <f t="array" ref="F19">SUMPRODUCT(IF($B$5:$AF$5=$A19,1,0))</f>
        <v>4</v>
      </c>
      <c r="G19" s="7">
        <f t="array" ref="G19">SUMPRODUCT(IF($B$6:$AF$6=$A19,1,0))</f>
        <v>7</v>
      </c>
      <c r="H19" s="7">
        <f t="array" ref="H19">SUMPRODUCT(IF($B$7:$AF$7=$A19,1,0))</f>
        <v>5</v>
      </c>
      <c r="I19" s="7">
        <f t="array" ref="I19">SUMPRODUCT(IF($B$9:$AF$9=$A19,1,0))</f>
        <v>0</v>
      </c>
      <c r="J19" s="7"/>
      <c r="K19" s="7"/>
      <c r="L19" s="7"/>
      <c r="M19" s="11"/>
      <c r="N19" s="7"/>
      <c r="O19" s="7"/>
      <c r="P19" s="7"/>
      <c r="Q19" s="7"/>
      <c r="R19" s="7"/>
      <c r="S19" s="7"/>
      <c r="T19" s="12"/>
      <c r="U19" s="7"/>
      <c r="V19" s="7"/>
      <c r="W19" s="7"/>
      <c r="X19" s="7"/>
      <c r="Y19" s="1"/>
      <c r="Z19" s="1"/>
      <c r="AA19" s="1"/>
      <c r="AB19" s="1"/>
      <c r="AC19" s="1"/>
      <c r="AD19" s="1"/>
      <c r="AE19" s="1"/>
      <c r="AF19" s="1"/>
    </row>
    <row r="20" spans="1:33">
      <c r="A20" s="6" t="s">
        <v>27</v>
      </c>
      <c r="B20" s="6" t="s">
        <v>16</v>
      </c>
      <c r="C20" s="6">
        <v>9</v>
      </c>
      <c r="D20" s="7"/>
      <c r="E20" s="7">
        <f t="array" ref="E20">SUMPRODUCT(IF($B$4:$AF$4=$A20,1,0))</f>
        <v>2</v>
      </c>
      <c r="F20" s="7">
        <f t="array" ref="F20">SUMPRODUCT(IF($B$5:$AF$5=$A20,1,0))</f>
        <v>0</v>
      </c>
      <c r="G20" s="7">
        <f t="array" ref="G20">SUMPRODUCT(IF($B$6:$AF$6=$A20,1,0))</f>
        <v>0</v>
      </c>
      <c r="H20" s="7">
        <f t="array" ref="H20">SUMPRODUCT(IF($B$7:$AF$7=$A20,1,0))</f>
        <v>0</v>
      </c>
      <c r="I20" s="7">
        <f t="array" ref="I20">SUMPRODUCT(IF($B$9:$AF$9=$A20,1,0))</f>
        <v>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1"/>
      <c r="Z20" s="1"/>
      <c r="AA20" s="1"/>
      <c r="AB20" s="1"/>
      <c r="AC20" s="1" t="s">
        <v>50</v>
      </c>
      <c r="AD20" s="1"/>
      <c r="AE20" s="1"/>
      <c r="AF20" s="1"/>
    </row>
    <row r="21" spans="1:33">
      <c r="A21" s="6" t="s">
        <v>28</v>
      </c>
      <c r="B21" s="6" t="s">
        <v>29</v>
      </c>
      <c r="C21" s="6">
        <v>8</v>
      </c>
      <c r="D21" s="7"/>
      <c r="E21" s="7">
        <f t="array" ref="E21">SUMPRODUCT(IF($B$4:$AF$4=$A21,1,0))</f>
        <v>0</v>
      </c>
      <c r="F21" s="7">
        <f t="array" ref="F21">SUMPRODUCT(IF($B$5:$AF$5=$A21,1,0))</f>
        <v>0</v>
      </c>
      <c r="G21" s="7">
        <f t="array" ref="G21">SUMPRODUCT(IF($B$6:$AF$6=$A21,1,0))</f>
        <v>0</v>
      </c>
      <c r="H21" s="7">
        <f t="array" ref="H21">SUMPRODUCT(IF($B$7:$AF$7=$A21,1,0))</f>
        <v>0</v>
      </c>
      <c r="I21" s="7">
        <f t="array" ref="I21">SUMPRODUCT(IF($B$9:$AF$9=$A21,1,0))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1"/>
      <c r="Z21" s="1"/>
      <c r="AA21" s="1"/>
      <c r="AB21" s="1"/>
      <c r="AC21" s="1"/>
      <c r="AD21" s="1"/>
      <c r="AE21" s="1"/>
      <c r="AF21" s="1"/>
    </row>
    <row r="22" spans="1:33" ht="16">
      <c r="A22" s="6" t="s">
        <v>30</v>
      </c>
      <c r="B22" s="6" t="s">
        <v>31</v>
      </c>
      <c r="C22" s="6">
        <v>7</v>
      </c>
      <c r="D22" s="7"/>
      <c r="E22" s="7">
        <f t="array" ref="E22">SUMPRODUCT(IF($B$4:$AF$4=$A22,1,0))</f>
        <v>1</v>
      </c>
      <c r="F22" s="7">
        <f t="array" ref="F22">SUMPRODUCT(IF($B$5:$AF$5=$A22,1,0))</f>
        <v>0</v>
      </c>
      <c r="G22" s="7">
        <f t="array" ref="G22">SUMPRODUCT(IF($B$6:$AF$6=$A22,1,0))</f>
        <v>0</v>
      </c>
      <c r="H22" s="7">
        <f t="array" ref="H22">SUMPRODUCT(IF($B$7:$AF$7=$A22,1,0))</f>
        <v>0</v>
      </c>
      <c r="I22" s="7">
        <f t="array" ref="I22">SUMPRODUCT(IF($B$9:$AF$9=$A22,1,0))</f>
        <v>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 t="s">
        <v>38</v>
      </c>
      <c r="U22" s="7"/>
      <c r="V22" s="7"/>
      <c r="W22" s="7"/>
      <c r="X22" s="7"/>
      <c r="Y22" s="1"/>
      <c r="Z22" s="1"/>
      <c r="AA22" s="1"/>
      <c r="AB22" s="1"/>
      <c r="AC22" s="1"/>
      <c r="AD22" s="1"/>
      <c r="AE22" s="1"/>
      <c r="AF22" s="1"/>
    </row>
    <row r="23" spans="1:33">
      <c r="A23" s="6" t="s">
        <v>21</v>
      </c>
      <c r="B23" s="6" t="s">
        <v>22</v>
      </c>
      <c r="C23" s="6">
        <v>6</v>
      </c>
      <c r="D23" s="7"/>
      <c r="E23" s="7">
        <f t="array" ref="E23">SUMPRODUCT(IF($B$4:$AF$4=$A23,1,0))</f>
        <v>0</v>
      </c>
      <c r="F23" s="7">
        <f t="array" ref="F23">SUMPRODUCT(IF($B$5:$AF$5=$A23,1,0))</f>
        <v>0</v>
      </c>
      <c r="G23" s="7">
        <f t="array" ref="G23">SUMPRODUCT(IF($B$6:$AF$6=$A23,1,0))</f>
        <v>0</v>
      </c>
      <c r="H23" s="7">
        <f t="array" ref="H23">SUMPRODUCT(IF($B$7:$AF$7=$A23,1,0))</f>
        <v>0</v>
      </c>
      <c r="I23" s="7">
        <f t="array" ref="I23">SUMPRODUCT(IF($B$9:$AF$9=$A23,1,0))</f>
        <v>0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V23" s="7"/>
      <c r="W23" s="7"/>
      <c r="X23" s="7"/>
      <c r="Y23" s="1"/>
      <c r="Z23" s="1"/>
      <c r="AA23" s="1"/>
      <c r="AB23" s="1"/>
      <c r="AC23" s="1"/>
      <c r="AD23" s="1"/>
      <c r="AE23" s="1"/>
      <c r="AF23" s="1"/>
    </row>
    <row r="24" spans="1:33">
      <c r="A24" s="8" t="s">
        <v>5</v>
      </c>
      <c r="B24" s="8" t="s">
        <v>26</v>
      </c>
      <c r="C24" s="8">
        <v>10</v>
      </c>
      <c r="D24" s="6"/>
      <c r="E24" s="7">
        <f t="array" ref="E24">SUMPRODUCT(IF($B$4:$AF$4=$A24,1,0))</f>
        <v>2</v>
      </c>
      <c r="F24" s="7">
        <f t="array" ref="F24">SUMPRODUCT(IF($B$5:$AF$5=$A24,1,0))</f>
        <v>1</v>
      </c>
      <c r="G24" s="7">
        <f t="array" ref="G24">SUMPRODUCT(IF($B$6:$AF$6=$A24,1,0))</f>
        <v>1</v>
      </c>
      <c r="H24" s="7">
        <f t="array" ref="H24">SUMPRODUCT(IF($B$7:$AF$7=$A24,1,0))</f>
        <v>0</v>
      </c>
      <c r="I24" s="7">
        <f t="array" ref="I24">SUMPRODUCT(IF($B$9:$AF$9=$A24,1,0))</f>
        <v>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1"/>
      <c r="Z24" s="1"/>
      <c r="AA24" s="1"/>
      <c r="AB24" s="1"/>
      <c r="AC24" s="1"/>
      <c r="AD24" s="1"/>
      <c r="AE24" s="1"/>
      <c r="AF24" s="1"/>
    </row>
    <row r="25" spans="1:33">
      <c r="A25" s="6" t="s">
        <v>46</v>
      </c>
      <c r="B25" s="6" t="s">
        <v>47</v>
      </c>
      <c r="C25" s="6">
        <v>9</v>
      </c>
      <c r="D25" s="7"/>
      <c r="E25" s="7">
        <f t="array" ref="E25">SUMPRODUCT(IF($B$4:$AF$4=$A25,1,0))</f>
        <v>0</v>
      </c>
      <c r="F25" s="7">
        <f t="array" ref="F25">SUMPRODUCT(IF($B$5:$AF$5=$A25,1,0))</f>
        <v>0</v>
      </c>
      <c r="G25" s="7">
        <f t="array" ref="G25">SUMPRODUCT(IF($B$6:$AF$6=$A25,1,0))</f>
        <v>0</v>
      </c>
      <c r="H25" s="7">
        <f t="array" ref="H25">SUMPRODUCT(IF($B$7:$AF$7=$A25,1,0))</f>
        <v>0</v>
      </c>
      <c r="I25" s="7">
        <f t="array" ref="I25">SUMPRODUCT(IF($B$9:$AF$9=$A25,1,0))</f>
        <v>0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6"/>
    </row>
    <row r="26" spans="1:33">
      <c r="A26" s="6" t="s">
        <v>17</v>
      </c>
      <c r="B26" s="6" t="s">
        <v>18</v>
      </c>
      <c r="C26" s="6">
        <v>0</v>
      </c>
      <c r="D26" s="7"/>
      <c r="E26" s="7">
        <f t="array" ref="E26">SUMPRODUCT(IF($B$4:$AF$4=$A26,1,0))</f>
        <v>10</v>
      </c>
      <c r="F26" s="7">
        <f t="array" ref="F26">SUMPRODUCT(IF($B$5:$AF$5=$A26,1,0))</f>
        <v>12</v>
      </c>
      <c r="G26" s="7">
        <f t="array" ref="G26">SUMPRODUCT(IF($B$6:$AF$6=$A26,1,0))</f>
        <v>14</v>
      </c>
      <c r="H26" s="7">
        <f t="array" ref="H26">SUMPRODUCT(IF($B$7:$AF$7=$A26,1,0))</f>
        <v>0</v>
      </c>
      <c r="I26" s="7">
        <f t="array" ref="I26">SUMPRODUCT(IF($B$9:$AF$9=$A26,1,0))</f>
        <v>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6"/>
    </row>
    <row r="27" spans="1:33">
      <c r="A27" s="6" t="s">
        <v>73</v>
      </c>
      <c r="B27" s="7"/>
      <c r="C27" s="7"/>
      <c r="D27" s="7"/>
      <c r="E27" s="7">
        <f t="array" ref="E27">SUMPRODUCT(IF($B$4:$AF$4=$A27,1,0))</f>
        <v>0</v>
      </c>
      <c r="F27" s="7">
        <f t="array" ref="F27">SUMPRODUCT(IF($B$5:$AF$5=$A27,1,0))</f>
        <v>0</v>
      </c>
      <c r="G27" s="7">
        <f t="array" ref="G27">SUMPRODUCT(IF($B$6:$AF$6=$A27,1,0))</f>
        <v>0</v>
      </c>
      <c r="H27" s="7">
        <f t="array" ref="H27">SUMPRODUCT(IF($B$7:$AF$7=$A27,1,0))</f>
        <v>0</v>
      </c>
      <c r="I27" s="7">
        <f t="array" ref="I27">SUMPRODUCT(IF($B$9:$AF$9=$A27,1,0))</f>
        <v>0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6" t="s">
        <v>23</v>
      </c>
    </row>
    <row r="28" spans="1:33">
      <c r="A28" s="9" t="s">
        <v>4</v>
      </c>
      <c r="B28" s="6" cm="1">
        <f t="array" ref="B28">IF(OR(B4="M",B4="M8",B4="M9",B4="M10",B4="M15",B4="M16",B4="E",B4="E13",B4="E14",B4="E15",B4="E16",B4="A",B4="S",B4="O",B4="早",B4="午",B4="晚",B4="x",B4="X",B4=""),_xlfn.IFS(B4="M",9,B4="M8",5,B4="M9",9,B4="M10",8,B4="M15",7,B4="M16",8,B4="E",5,B4="E13",9,B4="E14",8,B4="E15",7,B4="E16",6,B4="A",10,B4="S",9,B4="O",0,B4="早",4.5,B4="午",4,B4="晚",4,B4="x",0,B4="X",0,B4="",0,TRUE,0),IF(ISNUMBER(FIND(" ",B4)),VALUE(MID(B4,FIND(" ",B4)+1,10))-VALUE(LEFT(B4,FIND(" ",B4)-1)),0))</f>
        <v>9</v>
      </c>
      <c r="C28" s="6" cm="1">
        <f t="array" ref="C28">IF(OR(C4="M",C4="M8",C4="M9",C4="M10",C4="M15",C4="M16",C4="E",C4="E13",C4="E14",C4="E15",C4="E16",C4="A",C4="S",C4="O",C4="早",C4="午",C4="晚",C4="x",C4="X",C4=""),_xlfn.IFS(C4="M",9,C4="M8",5,C4="M9",9,C4="M10",8,C4="M15",7,C4="M16",8,C4="E",5,C4="E13",9,C4="E14",8,C4="E15",7,C4="E16",6,C4="A",10,C4="S",9,C4="O",0,C4="早",4.5,C4="午",4,C4="晚",4,C4="x",0,C4="X",0,C4="",0,TRUE,0),IF(ISNUMBER(FIND(" ",C4)),VALUE(MID(C4,FIND(" ",C4)+1,10))-VALUE(LEFT(C4,FIND(" ",C4)-1)),0))</f>
        <v>9</v>
      </c>
      <c r="D28" s="6" cm="1">
        <f t="array" ref="D28">IF(OR(D4="M",D4="M8",D4="M9",D4="M10",D4="M15",D4="M16",D4="E",D4="E13",D4="E14",D4="E15",D4="E16",D4="A",D4="S",D4="O",D4="早",D4="午",D4="晚",D4="x",D4="X",D4=""),_xlfn.IFS(D4="M",9,D4="M8",5,D4="M9",9,D4="M10",8,D4="M15",7,D4="M16",8,D4="E",5,D4="E13",9,D4="E14",8,D4="E15",7,D4="E16",6,D4="A",10,D4="S",9,D4="O",0,D4="早",4.5,D4="午",4,D4="晚",4,D4="x",0,D4="X",0,D4="",0,TRUE,0),IF(ISNUMBER(FIND(" ",D4)),VALUE(MID(D4,FIND(" ",D4)+1,10))-VALUE(LEFT(D4,FIND(" ",D4)-1)),0))</f>
        <v>0</v>
      </c>
      <c r="E28" s="6" cm="1">
        <f t="array" ref="E28">IF(OR(E4="M",E4="M8",E4="M9",E4="M10",E4="M15",E4="M16",E4="E",E4="E13",E4="E14",E4="E15",E4="E16",E4="A",E4="S",E4="O",E4="早",E4="午",E4="晚",E4="x",E4="X",E4=""),_xlfn.IFS(E4="M",9,E4="M8",5,E4="M9",9,E4="M10",8,E4="M15",7,E4="M16",8,E4="E",5,E4="E13",9,E4="E14",8,E4="E15",7,E4="E16",6,E4="A",10,E4="S",9,E4="O",0,E4="早",4.5,E4="午",4,E4="晚",4,E4="x",0,E4="X",0,E4="",0,TRUE,0),IF(ISNUMBER(FIND(" ",E4)),VALUE(MID(E4,FIND(" ",E4)+1,10))-VALUE(LEFT(E4,FIND(" ",E4)-1)),0))</f>
        <v>5</v>
      </c>
      <c r="F28" s="6" cm="1">
        <f t="array" ref="F28">IF(OR(F4="M",F4="M8",F4="M9",F4="M10",F4="M15",F4="M16",F4="E",F4="E13",F4="E14",F4="E15",F4="E16",F4="A",F4="S",F4="O",F4="早",F4="午",F4="晚",F4="x",F4="X",F4=""),_xlfn.IFS(F4="M",9,F4="M8",5,F4="M9",9,F4="M10",8,F4="M15",7,F4="M16",8,F4="E",5,F4="E13",9,F4="E14",8,F4="E15",7,F4="E16",6,F4="A",10,F4="S",9,F4="O",0,F4="早",4.5,F4="午",4,F4="晚",4,F4="x",0,F4="X",0,F4="",0,TRUE,0),IF(ISNUMBER(FIND(" ",F4)),VALUE(MID(F4,FIND(" ",F4)+1,10))-VALUE(LEFT(F4,FIND(" ",F4)-1)),0))</f>
        <v>0</v>
      </c>
      <c r="G28" s="6" cm="1">
        <f t="array" ref="G28">IF(OR(G4="M",G4="M8",G4="M9",G4="M10",G4="M15",G4="M16",G4="E",G4="E13",G4="E14",G4="E15",G4="E16",G4="A",G4="S",G4="O",G4="早",G4="午",G4="晚",G4="x",G4="X",G4=""),_xlfn.IFS(G4="M",9,G4="M8",5,G4="M9",9,G4="M10",8,G4="M15",7,G4="M16",8,G4="E",5,G4="E13",9,G4="E14",8,G4="E15",7,G4="E16",6,G4="A",10,G4="S",9,G4="O",0,G4="早",4.5,G4="午",4,G4="晚",4,G4="x",0,G4="X",0,G4="",0,TRUE,0),IF(ISNUMBER(FIND(" ",G4)),VALUE(MID(G4,FIND(" ",G4)+1,10))-VALUE(LEFT(G4,FIND(" ",G4)-1)),0))</f>
        <v>9</v>
      </c>
      <c r="H28" s="6" cm="1">
        <f t="array" ref="H28">IF(OR(H4="M",H4="M8",H4="M9",H4="M10",H4="M15",H4="M16",H4="E",H4="E13",H4="E14",H4="E15",H4="E16",H4="A",H4="S",H4="O",H4="早",H4="午",H4="晚",H4="x",H4="X",H4=""),_xlfn.IFS(H4="M",9,H4="M8",5,H4="M9",9,H4="M10",8,H4="M15",7,H4="M16",8,H4="E",5,H4="E13",9,H4="E14",8,H4="E15",7,H4="E16",6,H4="A",10,H4="S",9,H4="O",0,H4="早",4.5,H4="午",4,H4="晚",4,H4="x",0,H4="X",0,H4="",0,TRUE,0),IF(ISNUMBER(FIND(" ",H4)),VALUE(MID(H4,FIND(" ",H4)+1,10))-VALUE(LEFT(H4,FIND(" ",H4)-1)),0))</f>
        <v>5</v>
      </c>
      <c r="I28" s="6" cm="1">
        <f t="array" ref="I28">IF(OR(I4="M",I4="M8",I4="M9",I4="M10",I4="M15",I4="M16",I4="E",I4="E13",I4="E14",I4="E15",I4="E16",I4="A",I4="S",I4="O",I4="早",I4="午",I4="晚",I4="x",I4="X",I4=""),_xlfn.IFS(I4="M",9,I4="M8",5,I4="M9",9,I4="M10",8,I4="M15",7,I4="M16",8,I4="E",5,I4="E13",9,I4="E14",8,I4="E15",7,I4="E16",6,I4="A",10,I4="S",9,I4="O",0,I4="早",4.5,I4="午",4,I4="晚",4,I4="x",0,I4="X",0,I4="",0,TRUE,0),IF(ISNUMBER(FIND(" ",I4)),VALUE(MID(I4,FIND(" ",I4)+1,10))-VALUE(LEFT(I4,FIND(" ",I4)-1)),0))</f>
        <v>0</v>
      </c>
      <c r="J28" s="6" cm="1">
        <f t="array" ref="J28">IF(OR(J4="M",J4="M8",J4="M9",J4="M10",J4="M15",J4="M16",J4="E",J4="E13",J4="E14",J4="E15",J4="E16",J4="A",J4="S",J4="O",J4="早",J4="午",J4="晚",J4="x",J4="X",J4=""),_xlfn.IFS(J4="M",9,J4="M8",5,J4="M9",9,J4="M10",8,J4="M15",7,J4="M16",8,J4="E",5,J4="E13",9,J4="E14",8,J4="E15",7,J4="E16",6,J4="A",10,J4="S",9,J4="O",0,J4="早",4.5,J4="午",4,J4="晚",4,J4="x",0,J4="X",0,J4="",0,TRUE,0),IF(ISNUMBER(FIND(" ",J4)),VALUE(MID(J4,FIND(" ",J4)+1,10))-VALUE(LEFT(J4,FIND(" ",J4)-1)),0))</f>
        <v>5</v>
      </c>
      <c r="K28" s="6" cm="1">
        <f t="array" ref="K28">IF(OR(K4="M",K4="M8",K4="M9",K4="M10",K4="M15",K4="M16",K4="E",K4="E13",K4="E14",K4="E15",K4="E16",K4="A",K4="S",K4="O",K4="早",K4="午",K4="晚",K4="x",K4="X",K4=""),_xlfn.IFS(K4="M",9,K4="M8",5,K4="M9",9,K4="M10",8,K4="M15",7,K4="M16",8,K4="E",5,K4="E13",9,K4="E14",8,K4="E15",7,K4="E16",6,K4="A",10,K4="S",9,K4="O",0,K4="早",4.5,K4="午",4,K4="晚",4,K4="x",0,K4="X",0,K4="",0,TRUE,0),IF(ISNUMBER(FIND(" ",K4)),VALUE(MID(K4,FIND(" ",K4)+1,10))-VALUE(LEFT(K4,FIND(" ",K4)-1)),0))</f>
        <v>9</v>
      </c>
      <c r="L28" s="6" cm="1">
        <f t="array" ref="L28">IF(OR(L4="M",L4="M8",L4="M9",L4="M10",L4="M15",L4="M16",L4="E",L4="E13",L4="E14",L4="E15",L4="E16",L4="A",L4="S",L4="O",L4="早",L4="午",L4="晚",L4="x",L4="X",L4=""),_xlfn.IFS(L4="M",9,L4="M8",5,L4="M9",9,L4="M10",8,L4="M15",7,L4="M16",8,L4="E",5,L4="E13",9,L4="E14",8,L4="E15",7,L4="E16",6,L4="A",10,L4="S",9,L4="O",0,L4="早",4.5,L4="午",4,L4="晚",4,L4="x",0,L4="X",0,L4="",0,TRUE,0),IF(ISNUMBER(FIND(" ",L4)),VALUE(MID(L4,FIND(" ",L4)+1,10))-VALUE(LEFT(L4,FIND(" ",L4)-1)),0))</f>
        <v>0</v>
      </c>
      <c r="M28" s="6" cm="1">
        <f t="array" ref="M28">IF(OR(M4="M",M4="M8",M4="M9",M4="M10",M4="M15",M4="M16",M4="E",M4="E13",M4="E14",M4="E15",M4="E16",M4="A",M4="S",M4="O",M4="早",M4="午",M4="晚",M4="x",M4="X",M4=""),_xlfn.IFS(M4="M",9,M4="M8",5,M4="M9",9,M4="M10",8,M4="M15",7,M4="M16",8,M4="E",5,M4="E13",9,M4="E14",8,M4="E15",7,M4="E16",6,M4="A",10,M4="S",9,M4="O",0,M4="早",4.5,M4="午",4,M4="晚",4,M4="x",0,M4="X",0,M4="",0,TRUE,0),IF(ISNUMBER(FIND(" ",M4)),VALUE(MID(M4,FIND(" ",M4)+1,10))-VALUE(LEFT(M4,FIND(" ",M4)-1)),0))</f>
        <v>10</v>
      </c>
      <c r="N28" s="6" cm="1">
        <f t="array" ref="N28">IF(OR(N4="M",N4="M8",N4="M9",N4="M10",N4="M15",N4="M16",N4="E",N4="E13",N4="E14",N4="E15",N4="E16",N4="A",N4="S",N4="O",N4="早",N4="午",N4="晚",N4="x",N4="X",N4=""),_xlfn.IFS(N4="M",9,N4="M8",5,N4="M9",9,N4="M10",8,N4="M15",7,N4="M16",8,N4="E",5,N4="E13",9,N4="E14",8,N4="E15",7,N4="E16",6,N4="A",10,N4="S",9,N4="O",0,N4="早",4.5,N4="午",4,N4="晚",4,N4="x",0,N4="X",0,N4="",0,TRUE,0),IF(ISNUMBER(FIND(" ",N4)),VALUE(MID(N4,FIND(" ",N4)+1,10))-VALUE(LEFT(N4,FIND(" ",N4)-1)),0))</f>
        <v>5</v>
      </c>
      <c r="O28" s="6" cm="1">
        <f t="array" ref="O28">IF(OR(O4="M",O4="M8",O4="M9",O4="M10",O4="M15",O4="M16",O4="E",O4="E13",O4="E14",O4="E15",O4="E16",O4="A",O4="S",O4="O",O4="早",O4="午",O4="晚",O4="x",O4="X",O4=""),_xlfn.IFS(O4="M",9,O4="M8",5,O4="M9",9,O4="M10",8,O4="M15",7,O4="M16",8,O4="E",5,O4="E13",9,O4="E14",8,O4="E15",7,O4="E16",6,O4="A",10,O4="S",9,O4="O",0,O4="早",4.5,O4="午",4,O4="晚",4,O4="x",0,O4="X",0,O4="",0,TRUE,0),IF(ISNUMBER(FIND(" ",O4)),VALUE(MID(O4,FIND(" ",O4)+1,10))-VALUE(LEFT(O4,FIND(" ",O4)-1)),0))</f>
        <v>0</v>
      </c>
      <c r="P28" s="6" cm="1">
        <f t="array" ref="P28">IF(OR(P4="M",P4="M8",P4="M9",P4="M10",P4="M15",P4="M16",P4="E",P4="E13",P4="E14",P4="E15",P4="E16",P4="A",P4="S",P4="O",P4="早",P4="午",P4="晚",P4="x",P4="X",P4=""),_xlfn.IFS(P4="M",9,P4="M8",5,P4="M9",9,P4="M10",8,P4="M15",7,P4="M16",8,P4="E",5,P4="E13",9,P4="E14",8,P4="E15",7,P4="E16",6,P4="A",10,P4="S",9,P4="O",0,P4="早",4.5,P4="午",4,P4="晚",4,P4="x",0,P4="X",0,P4="",0,TRUE,0),IF(ISNUMBER(FIND(" ",P4)),VALUE(MID(P4,FIND(" ",P4)+1,10))-VALUE(LEFT(P4,FIND(" ",P4)-1)),0))</f>
        <v>9</v>
      </c>
      <c r="Q28" s="6" cm="1">
        <f t="array" ref="Q28">IF(OR(Q4="M",Q4="M8",Q4="M9",Q4="M10",Q4="M15",Q4="M16",Q4="E",Q4="E13",Q4="E14",Q4="E15",Q4="E16",Q4="A",Q4="S",Q4="O",Q4="早",Q4="午",Q4="晚",Q4="x",Q4="X",Q4=""),_xlfn.IFS(Q4="M",9,Q4="M8",5,Q4="M9",9,Q4="M10",8,Q4="M15",7,Q4="M16",8,Q4="E",5,Q4="E13",9,Q4="E14",8,Q4="E15",7,Q4="E16",6,Q4="A",10,Q4="S",9,Q4="O",0,Q4="早",4.5,Q4="午",4,Q4="晚",4,Q4="x",0,Q4="X",0,Q4="",0,TRUE,0),IF(ISNUMBER(FIND(" ",Q4)),VALUE(MID(Q4,FIND(" ",Q4)+1,10))-VALUE(LEFT(Q4,FIND(" ",Q4)-1)),0))</f>
        <v>5</v>
      </c>
      <c r="R28" s="6" cm="1">
        <f t="array" ref="R28">IF(OR(R4="M",R4="M8",R4="M9",R4="M10",R4="M15",R4="M16",R4="E",R4="E13",R4="E14",R4="E15",R4="E16",R4="A",R4="S",R4="O",R4="早",R4="午",R4="晚",R4="x",R4="X",R4=""),_xlfn.IFS(R4="M",9,R4="M8",5,R4="M9",9,R4="M10",8,R4="M15",7,R4="M16",8,R4="E",5,R4="E13",9,R4="E14",8,R4="E15",7,R4="E16",6,R4="A",10,R4="S",9,R4="O",0,R4="早",4.5,R4="午",4,R4="晚",4,R4="x",0,R4="X",0,R4="",0,TRUE,0),IF(ISNUMBER(FIND(" ",R4)),VALUE(MID(R4,FIND(" ",R4)+1,10))-VALUE(LEFT(R4,FIND(" ",R4)-1)),0))</f>
        <v>0</v>
      </c>
      <c r="S28" s="6" cm="1">
        <f t="array" ref="S28">IF(OR(S4="M",S4="M8",S4="M9",S4="M10",S4="M15",S4="M16",S4="E",S4="E13",S4="E14",S4="E15",S4="E16",S4="A",S4="S",S4="O",S4="早",S4="午",S4="晚",S4="x",S4="X",S4=""),_xlfn.IFS(S4="M",9,S4="M8",5,S4="M9",9,S4="M10",8,S4="M15",7,S4="M16",8,S4="E",5,S4="E13",9,S4="E14",8,S4="E15",7,S4="E16",6,S4="A",10,S4="S",9,S4="O",0,S4="早",4.5,S4="午",4,S4="晚",4,S4="x",0,S4="X",0,S4="",0,TRUE,0),IF(ISNUMBER(FIND(" ",S4)),VALUE(MID(S4,FIND(" ",S4)+1,10))-VALUE(LEFT(S4,FIND(" ",S4)-1)),0))</f>
        <v>9</v>
      </c>
      <c r="T28" s="6" cm="1">
        <f t="array" ref="T28">IF(OR(T4="M",T4="M8",T4="M9",T4="M10",T4="M15",T4="M16",T4="E",T4="E13",T4="E14",T4="E15",T4="E16",T4="A",T4="S",T4="O",T4="早",T4="午",T4="晚",T4="x",T4="X",T4=""),_xlfn.IFS(T4="M",9,T4="M8",5,T4="M9",9,T4="M10",8,T4="M15",7,T4="M16",8,T4="E",5,T4="E13",9,T4="E14",8,T4="E15",7,T4="E16",6,T4="A",10,T4="S",9,T4="O",0,T4="早",4.5,T4="午",4,T4="晚",4,T4="x",0,T4="X",0,T4="",0,TRUE,0),IF(ISNUMBER(FIND(" ",T4)),VALUE(MID(T4,FIND(" ",T4)+1,10))-VALUE(LEFT(T4,FIND(" ",T4)-1)),0))</f>
        <v>10</v>
      </c>
      <c r="U28" s="6" cm="1">
        <f t="array" ref="U28">IF(OR(U4="M",U4="M8",U4="M9",U4="M10",U4="M15",U4="M16",U4="E",U4="E13",U4="E14",U4="E15",U4="E16",U4="A",U4="S",U4="O",U4="早",U4="午",U4="晚",U4="x",U4="X",U4=""),_xlfn.IFS(U4="M",9,U4="M8",5,U4="M9",9,U4="M10",8,U4="M15",7,U4="M16",8,U4="E",5,U4="E13",9,U4="E14",8,U4="E15",7,U4="E16",6,U4="A",10,U4="S",9,U4="O",0,U4="早",4.5,U4="午",4,U4="晚",4,U4="x",0,U4="X",0,U4="",0,TRUE,0),IF(ISNUMBER(FIND(" ",U4)),VALUE(MID(U4,FIND(" ",U4)+1,10))-VALUE(LEFT(U4,FIND(" ",U4)-1)),0))</f>
        <v>5</v>
      </c>
      <c r="V28" s="6" cm="1">
        <f t="array" ref="V28">IF(OR(V4="M",V4="M8",V4="M9",V4="M10",V4="M15",V4="M16",V4="E",V4="E13",V4="E14",V4="E15",V4="E16",V4="A",V4="S",V4="O",V4="早",V4="午",V4="晚",V4="x",V4="X",V4=""),_xlfn.IFS(V4="M",9,V4="M8",5,V4="M9",9,V4="M10",8,V4="M15",7,V4="M16",8,V4="E",5,V4="E13",9,V4="E14",8,V4="E15",7,V4="E16",6,V4="A",10,V4="S",9,V4="O",0,V4="早",4.5,V4="午",4,V4="晚",4,V4="x",0,V4="X",0,V4="",0,TRUE,0),IF(ISNUMBER(FIND(" ",V4)),VALUE(MID(V4,FIND(" ",V4)+1,10))-VALUE(LEFT(V4,FIND(" ",V4)-1)),0))</f>
        <v>0</v>
      </c>
      <c r="W28" s="6" cm="1">
        <f t="array" ref="W28">IF(OR(W4="M",W4="M8",W4="M9",W4="M10",W4="M15",W4="M16",W4="E",W4="E13",W4="E14",W4="E15",W4="E16",W4="A",W4="S",W4="O",W4="早",W4="午",W4="晚",W4="x",W4="X",W4=""),_xlfn.IFS(W4="M",9,W4="M8",5,W4="M9",9,W4="M10",8,W4="M15",7,W4="M16",8,W4="E",5,W4="E13",9,W4="E14",8,W4="E15",7,W4="E16",6,W4="A",10,W4="S",9,W4="O",0,W4="早",4.5,W4="午",4,W4="晚",4,W4="x",0,W4="X",0,W4="",0,TRUE,0),IF(ISNUMBER(FIND(" ",W4)),VALUE(MID(W4,FIND(" ",W4)+1,10))-VALUE(LEFT(W4,FIND(" ",W4)-1)),0))</f>
        <v>9</v>
      </c>
      <c r="X28" s="6" cm="1">
        <f t="array" ref="X28">IF(OR(X4="M",X4="M8",X4="M9",X4="M10",X4="M15",X4="M16",X4="E",X4="E13",X4="E14",X4="E15",X4="E16",X4="A",X4="S",X4="O",X4="早",X4="午",X4="晚",X4="x",X4="X",X4=""),_xlfn.IFS(X4="M",9,X4="M8",5,X4="M9",9,X4="M10",8,X4="M15",7,X4="M16",8,X4="E",5,X4="E13",9,X4="E14",8,X4="E15",7,X4="E16",6,X4="A",10,X4="S",9,X4="O",0,X4="早",4.5,X4="午",4,X4="晚",4,X4="x",0,X4="X",0,X4="",0,TRUE,0),IF(ISNUMBER(FIND(" ",X4)),VALUE(MID(X4,FIND(" ",X4)+1,10))-VALUE(LEFT(X4,FIND(" ",X4)-1)),0))</f>
        <v>5</v>
      </c>
      <c r="Y28" s="6" cm="1">
        <f t="array" ref="Y28">IF(OR(Y4="M",Y4="M8",Y4="M9",Y4="M10",Y4="M15",Y4="M16",Y4="E",Y4="E13",Y4="E14",Y4="E15",Y4="E16",Y4="A",Y4="S",Y4="O",Y4="早",Y4="午",Y4="晚",Y4="x",Y4="X",Y4=""),_xlfn.IFS(Y4="M",9,Y4="M8",5,Y4="M9",9,Y4="M10",8,Y4="M15",7,Y4="M16",8,Y4="E",5,Y4="E13",9,Y4="E14",8,Y4="E15",7,Y4="E16",6,Y4="A",10,Y4="S",9,Y4="O",0,Y4="早",4.5,Y4="午",4,Y4="晚",4,Y4="x",0,Y4="X",0,Y4="",0,TRUE,0),IF(ISNUMBER(FIND(" ",Y4)),VALUE(MID(Y4,FIND(" ",Y4)+1,10))-VALUE(LEFT(Y4,FIND(" ",Y4)-1)),0))</f>
        <v>0</v>
      </c>
      <c r="Z28" s="6" cm="1">
        <f t="array" ref="Z28">IF(OR(Z4="M",Z4="M8",Z4="M9",Z4="M10",Z4="M15",Z4="M16",Z4="E",Z4="E13",Z4="E14",Z4="E15",Z4="E16",Z4="A",Z4="S",Z4="O",Z4="早",Z4="午",Z4="晚",Z4="x",Z4="X",Z4=""),_xlfn.IFS(Z4="M",9,Z4="M8",5,Z4="M9",9,Z4="M10",8,Z4="M15",7,Z4="M16",8,Z4="E",5,Z4="E13",9,Z4="E14",8,Z4="E15",7,Z4="E16",6,Z4="A",10,Z4="S",9,Z4="O",0,Z4="早",4.5,Z4="午",4,Z4="晚",4,Z4="x",0,Z4="X",0,Z4="",0,TRUE,0),IF(ISNUMBER(FIND(" ",Z4)),VALUE(MID(Z4,FIND(" ",Z4)+1,10))-VALUE(LEFT(Z4,FIND(" ",Z4)-1)),0))</f>
        <v>7</v>
      </c>
      <c r="AA28" s="6" cm="1">
        <f t="array" ref="AA28">IF(OR(AA4="M",AA4="M8",AA4="M9",AA4="M10",AA4="M15",AA4="M16",AA4="E",AA4="E13",AA4="E14",AA4="E15",AA4="E16",AA4="A",AA4="S",AA4="O",AA4="早",AA4="午",AA4="晚",AA4="x",AA4="X",AA4=""),_xlfn.IFS(AA4="M",9,AA4="M8",5,AA4="M9",9,AA4="M10",8,AA4="M15",7,AA4="M16",8,AA4="E",5,AA4="E13",9,AA4="E14",8,AA4="E15",7,AA4="E16",6,AA4="A",10,AA4="S",9,AA4="O",0,AA4="早",4.5,AA4="午",4,AA4="晚",4,AA4="x",0,AA4="X",0,AA4="",0,TRUE,0),IF(ISNUMBER(FIND(" ",AA4)),VALUE(MID(AA4,FIND(" ",AA4)+1,10))-VALUE(LEFT(AA4,FIND(" ",AA4)-1)),0))</f>
        <v>0</v>
      </c>
      <c r="AB28" s="6" cm="1">
        <f t="array" ref="AB28">IF(OR(AB4="M",AB4="M8",AB4="M9",AB4="M10",AB4="M15",AB4="M16",AB4="E",AB4="E13",AB4="E14",AB4="E15",AB4="E16",AB4="A",AB4="S",AB4="O",AB4="早",AB4="午",AB4="晚",AB4="x",AB4="X",AB4=""),_xlfn.IFS(AB4="M",9,AB4="M8",5,AB4="M9",9,AB4="M10",8,AB4="M15",7,AB4="M16",8,AB4="E",5,AB4="E13",9,AB4="E14",8,AB4="E15",7,AB4="E16",6,AB4="A",10,AB4="S",9,AB4="O",0,AB4="早",4.5,AB4="午",4,AB4="晚",4,AB4="x",0,AB4="X",0,AB4="",0,TRUE,0),IF(ISNUMBER(FIND(" ",AB4)),VALUE(MID(AB4,FIND(" ",AB4)+1,10))-VALUE(LEFT(AB4,FIND(" ",AB4)-1)),0))</f>
        <v>9</v>
      </c>
      <c r="AC28" s="6" cm="1">
        <f t="array" ref="AC28">IF(OR(AC4="M",AC4="M8",AC4="M9",AC4="M10",AC4="M15",AC4="M16",AC4="E",AC4="E13",AC4="E14",AC4="E15",AC4="E16",AC4="A",AC4="S",AC4="O",AC4="早",AC4="午",AC4="晚",AC4="x",AC4="X",AC4=""),_xlfn.IFS(AC4="M",9,AC4="M8",5,AC4="M9",9,AC4="M10",8,AC4="M15",7,AC4="M16",8,AC4="E",5,AC4="E13",9,AC4="E14",8,AC4="E15",7,AC4="E16",6,AC4="A",10,AC4="S",9,AC4="O",0,AC4="早",4.5,AC4="午",4,AC4="晚",4,AC4="x",0,AC4="X",0,AC4="",0,TRUE,0),IF(ISNUMBER(FIND(" ",AC4)),VALUE(MID(AC4,FIND(" ",AC4)+1,10))-VALUE(LEFT(AC4,FIND(" ",AC4)-1)),0))</f>
        <v>9</v>
      </c>
      <c r="AD28" s="6" cm="1">
        <f t="array" ref="AD28">IF(OR(AD4="M",AD4="M8",AD4="M9",AD4="M10",AD4="M15",AD4="M16",AD4="E",AD4="E13",AD4="E14",AD4="E15",AD4="E16",AD4="A",AD4="S",AD4="O",AD4="早",AD4="午",AD4="晚",AD4="x",AD4="X",AD4=""),_xlfn.IFS(AD4="M",9,AD4="M8",5,AD4="M9",9,AD4="M10",8,AD4="M15",7,AD4="M16",8,AD4="E",5,AD4="E13",9,AD4="E14",8,AD4="E15",7,AD4="E16",6,AD4="A",10,AD4="S",9,AD4="O",0,AD4="早",4.5,AD4="午",4,AD4="晚",4,AD4="x",0,AD4="X",0,AD4="",0,TRUE,0),IF(ISNUMBER(FIND(" ",AD4)),VALUE(MID(AD4,FIND(" ",AD4)+1,10))-VALUE(LEFT(AD4,FIND(" ",AD4)-1)),0))</f>
        <v>5</v>
      </c>
      <c r="AE28" s="6" cm="1">
        <f t="array" ref="AE28">IF(OR(AE4="M",AE4="M8",AE4="M9",AE4="M10",AE4="M15",AE4="M16",AE4="E",AE4="E13",AE4="E14",AE4="E15",AE4="E16",AE4="A",AE4="S",AE4="O",AE4="早",AE4="午",AE4="晚",AE4="x",AE4="X",AE4=""),_xlfn.IFS(AE4="M",9,AE4="M8",5,AE4="M9",9,AE4="M10",8,AE4="M15",7,AE4="M16",8,AE4="E",5,AE4="E13",9,AE4="E14",8,AE4="E15",7,AE4="E16",6,AE4="A",10,AE4="S",9,AE4="O",0,AE4="早",4.5,AE4="午",4,AE4="晚",4,AE4="x",0,AE4="X",0,AE4="",0,TRUE,0),IF(ISNUMBER(FIND(" ",AE4)),VALUE(MID(AE4,FIND(" ",AE4)+1,10))-VALUE(LEFT(AE4,FIND(" ",AE4)-1)),0))</f>
        <v>5</v>
      </c>
      <c r="AF28" s="6" cm="1">
        <f t="array" ref="AF28">IF(OR(AF4="M",AF4="M8",AF4="M9",AF4="M10",AF4="M15",AF4="M16",AF4="E",AF4="E13",AF4="E14",AF4="E15",AF4="E16",AF4="A",AF4="S",AF4="O",AF4="早",AF4="午",AF4="晚",AF4="x",AF4="X",AF4=""),_xlfn.IFS(AF4="M",9,AF4="M8",5,AF4="M9",9,AF4="M10",8,AF4="M15",7,AF4="M16",8,AF4="E",5,AF4="E13",9,AF4="E14",8,AF4="E15",7,AF4="E16",6,AF4="A",10,AF4="S",9,AF4="O",0,AF4="早",4.5,AF4="午",4,AF4="晚",4,AF4="x",0,AF4="X",0,AF4="",0,TRUE,0),IF(ISNUMBER(FIND(" ",AF4)),VALUE(MID(AF4,FIND(" ",AF4)+1,10))-VALUE(LEFT(AF4,FIND(" ",AF4)-1)),0))</f>
        <v>0</v>
      </c>
      <c r="AG28" s="6">
        <f t="shared" ref="AG28:AG34" si="3">SUM(B28:AF28)</f>
        <v>153</v>
      </c>
    </row>
    <row r="29" spans="1:33">
      <c r="A29" s="9" t="s">
        <v>6</v>
      </c>
      <c r="B29" s="6" cm="1">
        <f t="array" ref="B29">IF(OR(B5="M",B5="M8",B5="M9",B5="M10",B5="M15",B5="M16",B5="E",B5="E13",B5="E14",B5="E15",B5="E16",B5="A",B5="S",B5="O",B5="早",B5="午",B5="晚",B5="x",B5="X",B5=""),_xlfn.IFS(B5="M",9,B5="M8",5,B5="M9",9,B5="M10",8,B5="M15",7,B5="M16",8,B5="E",5,B5="E13",9,B5="E14",8,B5="E15",7,B5="E16",6,B5="A",10,B5="S",9,B5="O",0,B5="早",4.5,B5="午",4,B5="晚",4,B5="x",0,B5="X",0,B5="",0,TRUE,0),IF(ISNUMBER(FIND(" ",B5)),VALUE(MID(B5,FIND(" ",B5)+1,10))-VALUE(LEFT(B5,FIND(" ",B5)-1)),0))</f>
        <v>5</v>
      </c>
      <c r="C29" s="6" cm="1">
        <f t="array" ref="C29">IF(OR(C5="M",C5="M8",C5="M9",C5="M10",C5="M15",C5="M16",C5="E",C5="E13",C5="E14",C5="E15",C5="E16",C5="A",C5="S",C5="O",C5="早",C5="午",C5="晚",C5="x",C5="X",C5=""),_xlfn.IFS(C5="M",9,C5="M8",5,C5="M9",9,C5="M10",8,C5="M15",7,C5="M16",8,C5="E",5,C5="E13",9,C5="E14",8,C5="E15",7,C5="E16",6,C5="A",10,C5="S",9,C5="O",0,C5="早",4.5,C5="午",4,C5="晚",4,C5="x",0,C5="X",0,C5="",0,TRUE,0),IF(ISNUMBER(FIND(" ",C5)),VALUE(MID(C5,FIND(" ",C5)+1,10))-VALUE(LEFT(C5,FIND(" ",C5)-1)),0))</f>
        <v>0</v>
      </c>
      <c r="D29" s="6" cm="1">
        <f t="array" ref="D29">IF(OR(D5="M",D5="M8",D5="M9",D5="M10",D5="M15",D5="M16",D5="E",D5="E13",D5="E14",D5="E15",D5="E16",D5="A",D5="S",D5="O",D5="早",D5="午",D5="晚",D5="x",D5="X",D5=""),_xlfn.IFS(D5="M",9,D5="M8",5,D5="M9",9,D5="M10",8,D5="M15",7,D5="M16",8,D5="E",5,D5="E13",9,D5="E14",8,D5="E15",7,D5="E16",6,D5="A",10,D5="S",9,D5="O",0,D5="早",4.5,D5="午",4,D5="晚",4,D5="x",0,D5="X",0,D5="",0,TRUE,0),IF(ISNUMBER(FIND(" ",D5)),VALUE(MID(D5,FIND(" ",D5)+1,10))-VALUE(LEFT(D5,FIND(" ",D5)-1)),0))</f>
        <v>0</v>
      </c>
      <c r="E29" s="6" cm="1">
        <f t="array" ref="E29">IF(OR(E5="M",E5="M8",E5="M9",E5="M10",E5="M15",E5="M16",E5="E",E5="E13",E5="E14",E5="E15",E5="E16",E5="A",E5="S",E5="O",E5="早",E5="午",E5="晚",E5="x",E5="X",E5=""),_xlfn.IFS(E5="M",9,E5="M8",5,E5="M9",9,E5="M10",8,E5="M15",7,E5="M16",8,E5="E",5,E5="E13",9,E5="E14",8,E5="E15",7,E5="E16",6,E5="A",10,E5="S",9,E5="O",0,E5="早",4.5,E5="午",4,E5="晚",4,E5="x",0,E5="X",0,E5="",0,TRUE,0),IF(ISNUMBER(FIND(" ",E5)),VALUE(MID(E5,FIND(" ",E5)+1,10))-VALUE(LEFT(E5,FIND(" ",E5)-1)),0))</f>
        <v>9</v>
      </c>
      <c r="F29" s="6" cm="1">
        <f t="array" ref="F29">IF(OR(F5="M",F5="M8",F5="M9",F5="M10",F5="M15",F5="M16",F5="E",F5="E13",F5="E14",F5="E15",F5="E16",F5="A",F5="S",F5="O",F5="早",F5="午",F5="晚",F5="x",F5="X",F5=""),_xlfn.IFS(F5="M",9,F5="M8",5,F5="M9",9,F5="M10",8,F5="M15",7,F5="M16",8,F5="E",5,F5="E13",9,F5="E14",8,F5="E15",7,F5="E16",6,F5="A",10,F5="S",9,F5="O",0,F5="早",4.5,F5="午",4,F5="晚",4,F5="x",0,F5="X",0,F5="",0,TRUE,0),IF(ISNUMBER(FIND(" ",F5)),VALUE(MID(F5,FIND(" ",F5)+1,10))-VALUE(LEFT(F5,FIND(" ",F5)-1)),0))</f>
        <v>0</v>
      </c>
      <c r="G29" s="6" cm="1">
        <f t="array" ref="G29">IF(OR(G5="M",G5="M8",G5="M9",G5="M10",G5="M15",G5="M16",G5="E",G5="E13",G5="E14",G5="E15",G5="E16",G5="A",G5="S",G5="O",G5="早",G5="午",G5="晚",G5="x",G5="X",G5=""),_xlfn.IFS(G5="M",9,G5="M8",5,G5="M9",9,G5="M10",8,G5="M15",7,G5="M16",8,G5="E",5,G5="E13",9,G5="E14",8,G5="E15",7,G5="E16",6,G5="A",10,G5="S",9,G5="O",0,G5="早",4.5,G5="午",4,G5="晚",4,G5="x",0,G5="X",0,G5="",0,TRUE,0),IF(ISNUMBER(FIND(" ",G5)),VALUE(MID(G5,FIND(" ",G5)+1,10))-VALUE(LEFT(G5,FIND(" ",G5)-1)),0))</f>
        <v>9</v>
      </c>
      <c r="H29" s="6" cm="1">
        <f t="array" ref="H29">IF(OR(H5="M",H5="M8",H5="M9",H5="M10",H5="M15",H5="M16",H5="E",H5="E13",H5="E14",H5="E15",H5="E16",H5="A",H5="S",H5="O",H5="早",H5="午",H5="晚",H5="x",H5="X",H5=""),_xlfn.IFS(H5="M",9,H5="M8",5,H5="M9",9,H5="M10",8,H5="M15",7,H5="M16",8,H5="E",5,H5="E13",9,H5="E14",8,H5="E15",7,H5="E16",6,H5="A",10,H5="S",9,H5="O",0,H5="早",4.5,H5="午",4,H5="晚",4,H5="x",0,H5="X",0,H5="",0,TRUE,0),IF(ISNUMBER(FIND(" ",H5)),VALUE(MID(H5,FIND(" ",H5)+1,10))-VALUE(LEFT(H5,FIND(" ",H5)-1)),0))</f>
        <v>9</v>
      </c>
      <c r="I29" s="6" cm="1">
        <f t="array" ref="I29">IF(OR(I5="M",I5="M8",I5="M9",I5="M10",I5="M15",I5="M16",I5="E",I5="E13",I5="E14",I5="E15",I5="E16",I5="A",I5="S",I5="O",I5="早",I5="午",I5="晚",I5="x",I5="X",I5=""),_xlfn.IFS(I5="M",9,I5="M8",5,I5="M9",9,I5="M10",8,I5="M15",7,I5="M16",8,I5="E",5,I5="E13",9,I5="E14",8,I5="E15",7,I5="E16",6,I5="A",10,I5="S",9,I5="O",0,I5="早",4.5,I5="午",4,I5="晚",4,I5="x",0,I5="X",0,I5="",0,TRUE,0),IF(ISNUMBER(FIND(" ",I5)),VALUE(MID(I5,FIND(" ",I5)+1,10))-VALUE(LEFT(I5,FIND(" ",I5)-1)),0))</f>
        <v>0</v>
      </c>
      <c r="J29" s="6" cm="1">
        <f t="array" ref="J29">IF(OR(J5="M",J5="M8",J5="M9",J5="M10",J5="M15",J5="M16",J5="E",J5="E13",J5="E14",J5="E15",J5="E16",J5="A",J5="S",J5="O",J5="早",J5="午",J5="晚",J5="x",J5="X",J5=""),_xlfn.IFS(J5="M",9,J5="M8",5,J5="M9",9,J5="M10",8,J5="M15",7,J5="M16",8,J5="E",5,J5="E13",9,J5="E14",8,J5="E15",7,J5="E16",6,J5="A",10,J5="S",9,J5="O",0,J5="早",4.5,J5="午",4,J5="晚",4,J5="x",0,J5="X",0,J5="",0,TRUE,0),IF(ISNUMBER(FIND(" ",J5)),VALUE(MID(J5,FIND(" ",J5)+1,10))-VALUE(LEFT(J5,FIND(" ",J5)-1)),0))</f>
        <v>0</v>
      </c>
      <c r="K29" s="6" cm="1">
        <f t="array" ref="K29">IF(OR(K5="M",K5="M8",K5="M9",K5="M10",K5="M15",K5="M16",K5="E",K5="E13",K5="E14",K5="E15",K5="E16",K5="A",K5="S",K5="O",K5="早",K5="午",K5="晚",K5="x",K5="X",K5=""),_xlfn.IFS(K5="M",9,K5="M8",5,K5="M9",9,K5="M10",8,K5="M15",7,K5="M16",8,K5="E",5,K5="E13",9,K5="E14",8,K5="E15",7,K5="E16",6,K5="A",10,K5="S",9,K5="O",0,K5="早",4.5,K5="午",4,K5="晚",4,K5="x",0,K5="X",0,K5="",0,TRUE,0),IF(ISNUMBER(FIND(" ",K5)),VALUE(MID(K5,FIND(" ",K5)+1,10))-VALUE(LEFT(K5,FIND(" ",K5)-1)),0))</f>
        <v>9</v>
      </c>
      <c r="L29" s="6" cm="1">
        <f t="array" ref="L29">IF(OR(L5="M",L5="M8",L5="M9",L5="M10",L5="M15",L5="M16",L5="E",L5="E13",L5="E14",L5="E15",L5="E16",L5="A",L5="S",L5="O",L5="早",L5="午",L5="晚",L5="x",L5="X",L5=""),_xlfn.IFS(L5="M",9,L5="M8",5,L5="M9",9,L5="M10",8,L5="M15",7,L5="M16",8,L5="E",5,L5="E13",9,L5="E14",8,L5="E15",7,L5="E16",6,L5="A",10,L5="S",9,L5="O",0,L5="早",4.5,L5="午",4,L5="晚",4,L5="x",0,L5="X",0,L5="",0,TRUE,0),IF(ISNUMBER(FIND(" ",L5)),VALUE(MID(L5,FIND(" ",L5)+1,10))-VALUE(LEFT(L5,FIND(" ",L5)-1)),0))</f>
        <v>9</v>
      </c>
      <c r="M29" s="6" cm="1">
        <f t="array" ref="M29">IF(OR(M5="M",M5="M8",M5="M9",M5="M10",M5="M15",M5="M16",M5="E",M5="E13",M5="E14",M5="E15",M5="E16",M5="A",M5="S",M5="O",M5="早",M5="午",M5="晚",M5="x",M5="X",M5=""),_xlfn.IFS(M5="M",9,M5="M8",5,M5="M9",9,M5="M10",8,M5="M15",7,M5="M16",8,M5="E",5,M5="E13",9,M5="E14",8,M5="E15",7,M5="E16",6,M5="A",10,M5="S",9,M5="O",0,M5="早",4.5,M5="午",4,M5="晚",4,M5="x",0,M5="X",0,M5="",0,TRUE,0),IF(ISNUMBER(FIND(" ",M5)),VALUE(MID(M5,FIND(" ",M5)+1,10))-VALUE(LEFT(M5,FIND(" ",M5)-1)),0))</f>
        <v>0</v>
      </c>
      <c r="N29" s="6" cm="1">
        <f t="array" ref="N29">IF(OR(N5="M",N5="M8",N5="M9",N5="M10",N5="M15",N5="M16",N5="E",N5="E13",N5="E14",N5="E15",N5="E16",N5="A",N5="S",N5="O",N5="早",N5="午",N5="晚",N5="x",N5="X",N5=""),_xlfn.IFS(N5="M",9,N5="M8",5,N5="M9",9,N5="M10",8,N5="M15",7,N5="M16",8,N5="E",5,N5="E13",9,N5="E14",8,N5="E15",7,N5="E16",6,N5="A",10,N5="S",9,N5="O",0,N5="早",4.5,N5="午",4,N5="晚",4,N5="x",0,N5="X",0,N5="",0,TRUE,0),IF(ISNUMBER(FIND(" ",N5)),VALUE(MID(N5,FIND(" ",N5)+1,10))-VALUE(LEFT(N5,FIND(" ",N5)-1)),0))</f>
        <v>9</v>
      </c>
      <c r="O29" s="6" cm="1">
        <f t="array" ref="O29">IF(OR(O5="M",O5="M8",O5="M9",O5="M10",O5="M15",O5="M16",O5="E",O5="E13",O5="E14",O5="E15",O5="E16",O5="A",O5="S",O5="O",O5="早",O5="午",O5="晚",O5="x",O5="X",O5=""),_xlfn.IFS(O5="M",9,O5="M8",5,O5="M9",9,O5="M10",8,O5="M15",7,O5="M16",8,O5="E",5,O5="E13",9,O5="E14",8,O5="E15",7,O5="E16",6,O5="A",10,O5="S",9,O5="O",0,O5="早",4.5,O5="午",4,O5="晚",4,O5="x",0,O5="X",0,O5="",0,TRUE,0),IF(ISNUMBER(FIND(" ",O5)),VALUE(MID(O5,FIND(" ",O5)+1,10))-VALUE(LEFT(O5,FIND(" ",O5)-1)),0))</f>
        <v>9</v>
      </c>
      <c r="P29" s="6" cm="1">
        <f t="array" ref="P29">IF(OR(P5="M",P5="M8",P5="M9",P5="M10",P5="M15",P5="M16",P5="E",P5="E13",P5="E14",P5="E15",P5="E16",P5="A",P5="S",P5="O",P5="早",P5="午",P5="晚",P5="x",P5="X",P5=""),_xlfn.IFS(P5="M",9,P5="M8",5,P5="M9",9,P5="M10",8,P5="M15",7,P5="M16",8,P5="E",5,P5="E13",9,P5="E14",8,P5="E15",7,P5="E16",6,P5="A",10,P5="S",9,P5="O",0,P5="早",4.5,P5="午",4,P5="晚",4,P5="x",0,P5="X",0,P5="",0,TRUE,0),IF(ISNUMBER(FIND(" ",P5)),VALUE(MID(P5,FIND(" ",P5)+1,10))-VALUE(LEFT(P5,FIND(" ",P5)-1)),0))</f>
        <v>0</v>
      </c>
      <c r="Q29" s="6" cm="1">
        <f t="array" ref="Q29">IF(OR(Q5="M",Q5="M8",Q5="M9",Q5="M10",Q5="M15",Q5="M16",Q5="E",Q5="E13",Q5="E14",Q5="E15",Q5="E16",Q5="A",Q5="S",Q5="O",Q5="早",Q5="午",Q5="晚",Q5="x",Q5="X",Q5=""),_xlfn.IFS(Q5="M",9,Q5="M8",5,Q5="M9",9,Q5="M10",8,Q5="M15",7,Q5="M16",8,Q5="E",5,Q5="E13",9,Q5="E14",8,Q5="E15",7,Q5="E16",6,Q5="A",10,Q5="S",9,Q5="O",0,Q5="早",4.5,Q5="午",4,Q5="晚",4,Q5="x",0,Q5="X",0,Q5="",0,TRUE,0),IF(ISNUMBER(FIND(" ",Q5)),VALUE(MID(Q5,FIND(" ",Q5)+1,10))-VALUE(LEFT(Q5,FIND(" ",Q5)-1)),0))</f>
        <v>9</v>
      </c>
      <c r="R29" s="6" cm="1">
        <f t="array" ref="R29">IF(OR(R5="M",R5="M8",R5="M9",R5="M10",R5="M15",R5="M16",R5="E",R5="E13",R5="E14",R5="E15",R5="E16",R5="A",R5="S",R5="O",R5="早",R5="午",R5="晚",R5="x",R5="X",R5=""),_xlfn.IFS(R5="M",9,R5="M8",5,R5="M9",9,R5="M10",8,R5="M15",7,R5="M16",8,R5="E",5,R5="E13",9,R5="E14",8,R5="E15",7,R5="E16",6,R5="A",10,R5="S",9,R5="O",0,R5="早",4.5,R5="午",4,R5="晚",4,R5="x",0,R5="X",0,R5="",0,TRUE,0),IF(ISNUMBER(FIND(" ",R5)),VALUE(MID(R5,FIND(" ",R5)+1,10))-VALUE(LEFT(R5,FIND(" ",R5)-1)),0))</f>
        <v>9</v>
      </c>
      <c r="S29" s="6" cm="1">
        <f t="array" ref="S29">IF(OR(S5="M",S5="M8",S5="M9",S5="M10",S5="M15",S5="M16",S5="E",S5="E13",S5="E14",S5="E15",S5="E16",S5="A",S5="S",S5="O",S5="早",S5="午",S5="晚",S5="x",S5="X",S5=""),_xlfn.IFS(S5="M",9,S5="M8",5,S5="M9",9,S5="M10",8,S5="M15",7,S5="M16",8,S5="E",5,S5="E13",9,S5="E14",8,S5="E15",7,S5="E16",6,S5="A",10,S5="S",9,S5="O",0,S5="早",4.5,S5="午",4,S5="晚",4,S5="x",0,S5="X",0,S5="",0,TRUE,0),IF(ISNUMBER(FIND(" ",S5)),VALUE(MID(S5,FIND(" ",S5)+1,10))-VALUE(LEFT(S5,FIND(" ",S5)-1)),0))</f>
        <v>0</v>
      </c>
      <c r="T29" s="6" cm="1">
        <f t="array" ref="T29">IF(OR(T5="M",T5="M8",T5="M9",T5="M10",T5="M15",T5="M16",T5="E",T5="E13",T5="E14",T5="E15",T5="E16",T5="A",T5="S",T5="O",T5="早",T5="午",T5="晚",T5="x",T5="X",T5=""),_xlfn.IFS(T5="M",9,T5="M8",5,T5="M9",9,T5="M10",8,T5="M15",7,T5="M16",8,T5="E",5,T5="E13",9,T5="E14",8,T5="E15",7,T5="E16",6,T5="A",10,T5="S",9,T5="O",0,T5="早",4.5,T5="午",4,T5="晚",4,T5="x",0,T5="X",0,T5="",0,TRUE,0),IF(ISNUMBER(FIND(" ",T5)),VALUE(MID(T5,FIND(" ",T5)+1,10))-VALUE(LEFT(T5,FIND(" ",T5)-1)),0))</f>
        <v>0</v>
      </c>
      <c r="U29" s="6" cm="1">
        <f t="array" ref="U29">IF(OR(U5="M",U5="M8",U5="M9",U5="M10",U5="M15",U5="M16",U5="E",U5="E13",U5="E14",U5="E15",U5="E16",U5="A",U5="S",U5="O",U5="早",U5="午",U5="晚",U5="x",U5="X",U5=""),_xlfn.IFS(U5="M",9,U5="M8",5,U5="M9",9,U5="M10",8,U5="M15",7,U5="M16",8,U5="E",5,U5="E13",9,U5="E14",8,U5="E15",7,U5="E16",6,U5="A",10,U5="S",9,U5="O",0,U5="早",4.5,U5="午",4,U5="晚",4,U5="x",0,U5="X",0,U5="",0,TRUE,0),IF(ISNUMBER(FIND(" ",U5)),VALUE(MID(U5,FIND(" ",U5)+1,10))-VALUE(LEFT(U5,FIND(" ",U5)-1)),0))</f>
        <v>9</v>
      </c>
      <c r="V29" s="6" cm="1">
        <f t="array" ref="V29">IF(OR(V5="M",V5="M8",V5="M9",V5="M10",V5="M15",V5="M16",V5="E",V5="E13",V5="E14",V5="E15",V5="E16",V5="A",V5="S",V5="O",V5="早",V5="午",V5="晚",V5="x",V5="X",V5=""),_xlfn.IFS(V5="M",9,V5="M8",5,V5="M9",9,V5="M10",8,V5="M15",7,V5="M16",8,V5="E",5,V5="E13",9,V5="E14",8,V5="E15",7,V5="E16",6,V5="A",10,V5="S",9,V5="O",0,V5="早",4.5,V5="午",4,V5="晚",4,V5="x",0,V5="X",0,V5="",0,TRUE,0),IF(ISNUMBER(FIND(" ",V5)),VALUE(MID(V5,FIND(" ",V5)+1,10))-VALUE(LEFT(V5,FIND(" ",V5)-1)),0))</f>
        <v>5</v>
      </c>
      <c r="W29" s="6" cm="1">
        <f t="array" ref="W29">IF(OR(W5="M",W5="M8",W5="M9",W5="M10",W5="M15",W5="M16",W5="E",W5="E13",W5="E14",W5="E15",W5="E16",W5="A",W5="S",W5="O",W5="早",W5="午",W5="晚",W5="x",W5="X",W5=""),_xlfn.IFS(W5="M",9,W5="M8",5,W5="M9",9,W5="M10",8,W5="M15",7,W5="M16",8,W5="E",5,W5="E13",9,W5="E14",8,W5="E15",7,W5="E16",6,W5="A",10,W5="S",9,W5="O",0,W5="早",4.5,W5="午",4,W5="晚",4,W5="x",0,W5="X",0,W5="",0,TRUE,0),IF(ISNUMBER(FIND(" ",W5)),VALUE(MID(W5,FIND(" ",W5)+1,10))-VALUE(LEFT(W5,FIND(" ",W5)-1)),0))</f>
        <v>5</v>
      </c>
      <c r="X29" s="6" cm="1">
        <f t="array" ref="X29">IF(OR(X5="M",X5="M8",X5="M9",X5="M10",X5="M15",X5="M16",X5="E",X5="E13",X5="E14",X5="E15",X5="E16",X5="A",X5="S",X5="O",X5="早",X5="午",X5="晚",X5="x",X5="X",X5=""),_xlfn.IFS(X5="M",9,X5="M8",5,X5="M9",9,X5="M10",8,X5="M15",7,X5="M16",8,X5="E",5,X5="E13",9,X5="E14",8,X5="E15",7,X5="E16",6,X5="A",10,X5="S",9,X5="O",0,X5="早",4.5,X5="午",4,X5="晚",4,X5="x",0,X5="X",0,X5="",0,TRUE,0),IF(ISNUMBER(FIND(" ",X5)),VALUE(MID(X5,FIND(" ",X5)+1,10))-VALUE(LEFT(X5,FIND(" ",X5)-1)),0))</f>
        <v>0</v>
      </c>
      <c r="Y29" s="6" cm="1">
        <f t="array" ref="Y29">IF(OR(Y5="M",Y5="M8",Y5="M9",Y5="M10",Y5="M15",Y5="M16",Y5="E",Y5="E13",Y5="E14",Y5="E15",Y5="E16",Y5="A",Y5="S",Y5="O",Y5="早",Y5="午",Y5="晚",Y5="x",Y5="X",Y5=""),_xlfn.IFS(Y5="M",9,Y5="M8",5,Y5="M9",9,Y5="M10",8,Y5="M15",7,Y5="M16",8,Y5="E",5,Y5="E13",9,Y5="E14",8,Y5="E15",7,Y5="E16",6,Y5="A",10,Y5="S",9,Y5="O",0,Y5="早",4.5,Y5="午",4,Y5="晚",4,Y5="x",0,Y5="X",0,Y5="",0,TRUE,0),IF(ISNUMBER(FIND(" ",Y5)),VALUE(MID(Y5,FIND(" ",Y5)+1,10))-VALUE(LEFT(Y5,FIND(" ",Y5)-1)),0))</f>
        <v>9</v>
      </c>
      <c r="Z29" s="6" cm="1">
        <f t="array" ref="Z29">IF(OR(Z5="M",Z5="M8",Z5="M9",Z5="M10",Z5="M15",Z5="M16",Z5="E",Z5="E13",Z5="E14",Z5="E15",Z5="E16",Z5="A",Z5="S",Z5="O",Z5="早",Z5="午",Z5="晚",Z5="x",Z5="X",Z5=""),_xlfn.IFS(Z5="M",9,Z5="M8",5,Z5="M9",9,Z5="M10",8,Z5="M15",7,Z5="M16",8,Z5="E",5,Z5="E13",9,Z5="E14",8,Z5="E15",7,Z5="E16",6,Z5="A",10,Z5="S",9,Z5="O",0,Z5="早",4.5,Z5="午",4,Z5="晚",4,Z5="x",0,Z5="X",0,Z5="",0,TRUE,0),IF(ISNUMBER(FIND(" ",Z5)),VALUE(MID(Z5,FIND(" ",Z5)+1,10))-VALUE(LEFT(Z5,FIND(" ",Z5)-1)),0))</f>
        <v>0</v>
      </c>
      <c r="AA29" s="6" cm="1">
        <f t="array" ref="AA29">IF(OR(AA5="M",AA5="M8",AA5="M9",AA5="M10",AA5="M15",AA5="M16",AA5="E",AA5="E13",AA5="E14",AA5="E15",AA5="E16",AA5="A",AA5="S",AA5="O",AA5="早",AA5="午",AA5="晚",AA5="x",AA5="X",AA5=""),_xlfn.IFS(AA5="M",9,AA5="M8",5,AA5="M9",9,AA5="M10",8,AA5="M15",7,AA5="M16",8,AA5="E",5,AA5="E13",9,AA5="E14",8,AA5="E15",7,AA5="E16",6,AA5="A",10,AA5="S",9,AA5="O",0,AA5="早",4.5,AA5="午",4,AA5="晚",4,AA5="x",0,AA5="X",0,AA5="",0,TRUE,0),IF(ISNUMBER(FIND(" ",AA5)),VALUE(MID(AA5,FIND(" ",AA5)+1,10))-VALUE(LEFT(AA5,FIND(" ",AA5)-1)),0))</f>
        <v>10</v>
      </c>
      <c r="AB29" s="6" cm="1">
        <f t="array" ref="AB29">IF(OR(AB5="M",AB5="M8",AB5="M9",AB5="M10",AB5="M15",AB5="M16",AB5="E",AB5="E13",AB5="E14",AB5="E15",AB5="E16",AB5="A",AB5="S",AB5="O",AB5="早",AB5="午",AB5="晚",AB5="x",AB5="X",AB5=""),_xlfn.IFS(AB5="M",9,AB5="M8",5,AB5="M9",9,AB5="M10",8,AB5="M15",7,AB5="M16",8,AB5="E",5,AB5="E13",9,AB5="E14",8,AB5="E15",7,AB5="E16",6,AB5="A",10,AB5="S",9,AB5="O",0,AB5="早",4.5,AB5="午",4,AB5="晚",4,AB5="x",0,AB5="X",0,AB5="",0,TRUE,0),IF(ISNUMBER(FIND(" ",AB5)),VALUE(MID(AB5,FIND(" ",AB5)+1,10))-VALUE(LEFT(AB5,FIND(" ",AB5)-1)),0))</f>
        <v>5</v>
      </c>
      <c r="AC29" s="6" cm="1">
        <f t="array" ref="AC29">IF(OR(AC5="M",AC5="M8",AC5="M9",AC5="M10",AC5="M15",AC5="M16",AC5="E",AC5="E13",AC5="E14",AC5="E15",AC5="E16",AC5="A",AC5="S",AC5="O",AC5="早",AC5="午",AC5="晚",AC5="x",AC5="X",AC5=""),_xlfn.IFS(AC5="M",9,AC5="M8",5,AC5="M9",9,AC5="M10",8,AC5="M15",7,AC5="M16",8,AC5="E",5,AC5="E13",9,AC5="E14",8,AC5="E15",7,AC5="E16",6,AC5="A",10,AC5="S",9,AC5="O",0,AC5="早",4.5,AC5="午",4,AC5="晚",4,AC5="x",0,AC5="X",0,AC5="",0,TRUE,0),IF(ISNUMBER(FIND(" ",AC5)),VALUE(MID(AC5,FIND(" ",AC5)+1,10))-VALUE(LEFT(AC5,FIND(" ",AC5)-1)),0))</f>
        <v>0</v>
      </c>
      <c r="AD29" s="6" cm="1">
        <f t="array" ref="AD29">IF(OR(AD5="M",AD5="M8",AD5="M9",AD5="M10",AD5="M15",AD5="M16",AD5="E",AD5="E13",AD5="E14",AD5="E15",AD5="E16",AD5="A",AD5="S",AD5="O",AD5="早",AD5="午",AD5="晚",AD5="x",AD5="X",AD5=""),_xlfn.IFS(AD5="M",9,AD5="M8",5,AD5="M9",9,AD5="M10",8,AD5="M15",7,AD5="M16",8,AD5="E",5,AD5="E13",9,AD5="E14",8,AD5="E15",7,AD5="E16",6,AD5="A",10,AD5="S",9,AD5="O",0,AD5="早",4.5,AD5="午",4,AD5="晚",4,AD5="x",0,AD5="X",0,AD5="",0,TRUE,0),IF(ISNUMBER(FIND(" ",AD5)),VALUE(MID(AD5,FIND(" ",AD5)+1,10))-VALUE(LEFT(AD5,FIND(" ",AD5)-1)),0))</f>
        <v>9</v>
      </c>
      <c r="AE29" s="6" cm="1">
        <f t="array" ref="AE29">IF(OR(AE5="M",AE5="M8",AE5="M9",AE5="M10",AE5="M15",AE5="M16",AE5="E",AE5="E13",AE5="E14",AE5="E15",AE5="E16",AE5="A",AE5="S",AE5="O",AE5="早",AE5="午",AE5="晚",AE5="x",AE5="X",AE5=""),_xlfn.IFS(AE5="M",9,AE5="M8",5,AE5="M9",9,AE5="M10",8,AE5="M15",7,AE5="M16",8,AE5="E",5,AE5="E13",9,AE5="E14",8,AE5="E15",7,AE5="E16",6,AE5="A",10,AE5="S",9,AE5="O",0,AE5="早",4.5,AE5="午",4,AE5="晚",4,AE5="x",0,AE5="X",0,AE5="",0,TRUE,0),IF(ISNUMBER(FIND(" ",AE5)),VALUE(MID(AE5,FIND(" ",AE5)+1,10))-VALUE(LEFT(AE5,FIND(" ",AE5)-1)),0))</f>
        <v>9</v>
      </c>
      <c r="AF29" s="6" cm="1">
        <f t="array" ref="AF29">IF(OR(AF5="M",AF5="M8",AF5="M9",AF5="M10",AF5="M15",AF5="M16",AF5="E",AF5="E13",AF5="E14",AF5="E15",AF5="E16",AF5="A",AF5="S",AF5="O",AF5="早",AF5="午",AF5="晚",AF5="x",AF5="X",AF5=""),_xlfn.IFS(AF5="M",9,AF5="M8",5,AF5="M9",9,AF5="M10",8,AF5="M15",7,AF5="M16",8,AF5="E",5,AF5="E13",9,AF5="E14",8,AF5="E15",7,AF5="E16",6,AF5="A",10,AF5="S",9,AF5="O",0,AF5="早",4.5,AF5="午",4,AF5="晚",4,AF5="x",0,AF5="X",0,AF5="",0,TRUE,0),IF(ISNUMBER(FIND(" ",AF5)),VALUE(MID(AF5,FIND(" ",AF5)+1,10))-VALUE(LEFT(AF5,FIND(" ",AF5)-1)),0))</f>
        <v>9</v>
      </c>
      <c r="AG29" s="6">
        <f t="shared" si="3"/>
        <v>156</v>
      </c>
    </row>
    <row r="30" spans="1:33">
      <c r="A30" s="9" t="s">
        <v>52</v>
      </c>
      <c r="B30" s="6" cm="1">
        <f t="array" ref="B30">IF(OR(B6="M",B6="M8",B6="M9",B6="M10",B6="M15",B6="M16",B6="E",B6="E13",B6="E14",B6="E15",B6="E16",B6="A",B6="S",B6="O",B6="早",B6="午",B6="晚",B6="x",B6="X",B6=""),_xlfn.IFS(B6="M",9,B6="M8",5,B6="M9",9,B6="M10",8,B6="M15",7,B6="M16",8,B6="E",5,B6="E13",9,B6="E14",8,B6="E15",7,B6="E16",6,B6="A",10,B6="S",9,B6="O",0,B6="早",4.5,B6="午",4,B6="晚",4,B6="x",0,B6="X",0,B6="",0,TRUE,0),IF(ISNUMBER(FIND(" ",B6)),VALUE(MID(B6,FIND(" ",B6)+1,10))-VALUE(LEFT(B6,FIND(" ",B6)-1)),0))</f>
        <v>0</v>
      </c>
      <c r="C30" s="6" cm="1">
        <f t="array" ref="C30">IF(OR(C6="M",C6="M8",C6="M9",C6="M10",C6="M15",C6="M16",C6="E",C6="E13",C6="E14",C6="E15",C6="E16",C6="A",C6="S",C6="O",C6="早",C6="午",C6="晚",C6="x",C6="X",C6=""),_xlfn.IFS(C6="M",9,C6="M8",5,C6="M9",9,C6="M10",8,C6="M15",7,C6="M16",8,C6="E",5,C6="E13",9,C6="E14",8,C6="E15",7,C6="E16",6,C6="A",10,C6="S",9,C6="O",0,C6="早",4.5,C6="午",4,C6="晚",4,C6="x",0,C6="X",0,C6="",0,TRUE,0),IF(ISNUMBER(FIND(" ",C6)),VALUE(MID(C6,FIND(" ",C6)+1,10))-VALUE(LEFT(C6,FIND(" ",C6)-1)),0))</f>
        <v>9</v>
      </c>
      <c r="D30" s="6" cm="1">
        <f t="array" ref="D30">IF(OR(D6="M",D6="M8",D6="M9",D6="M10",D6="M15",D6="M16",D6="E",D6="E13",D6="E14",D6="E15",D6="E16",D6="A",D6="S",D6="O",D6="早",D6="午",D6="晚",D6="x",D6="X",D6=""),_xlfn.IFS(D6="M",9,D6="M8",5,D6="M9",9,D6="M10",8,D6="M15",7,D6="M16",8,D6="E",5,D6="E13",9,D6="E14",8,D6="E15",7,D6="E16",6,D6="A",10,D6="S",9,D6="O",0,D6="早",4.5,D6="午",4,D6="晚",4,D6="x",0,D6="X",0,D6="",0,TRUE,0),IF(ISNUMBER(FIND(" ",D6)),VALUE(MID(D6,FIND(" ",D6)+1,10))-VALUE(LEFT(D6,FIND(" ",D6)-1)),0))</f>
        <v>9</v>
      </c>
      <c r="E30" s="6" cm="1">
        <f t="array" ref="E30">IF(OR(E6="M",E6="M8",E6="M9",E6="M10",E6="M15",E6="M16",E6="E",E6="E13",E6="E14",E6="E15",E6="E16",E6="A",E6="S",E6="O",E6="早",E6="午",E6="晚",E6="x",E6="X",E6=""),_xlfn.IFS(E6="M",9,E6="M8",5,E6="M9",9,E6="M10",8,E6="M15",7,E6="M16",8,E6="E",5,E6="E13",9,E6="E14",8,E6="E15",7,E6="E16",6,E6="A",10,E6="S",9,E6="O",0,E6="早",4.5,E6="午",4,E6="晚",4,E6="x",0,E6="X",0,E6="",0,TRUE,0),IF(ISNUMBER(FIND(" ",E6)),VALUE(MID(E6,FIND(" ",E6)+1,10))-VALUE(LEFT(E6,FIND(" ",E6)-1)),0))</f>
        <v>0</v>
      </c>
      <c r="F30" s="6" cm="1">
        <f t="array" ref="F30">IF(OR(F6="M",F6="M8",F6="M9",F6="M10",F6="M15",F6="M16",F6="E",F6="E13",F6="E14",F6="E15",F6="E16",F6="A",F6="S",F6="O",F6="早",F6="午",F6="晚",F6="x",F6="X",F6=""),_xlfn.IFS(F6="M",9,F6="M8",5,F6="M9",9,F6="M10",8,F6="M15",7,F6="M16",8,F6="E",5,F6="E13",9,F6="E14",8,F6="E15",7,F6="E16",6,F6="A",10,F6="S",9,F6="O",0,F6="早",4.5,F6="午",4,F6="晚",4,F6="x",0,F6="X",0,F6="",0,TRUE,0),IF(ISNUMBER(FIND(" ",F6)),VALUE(MID(F6,FIND(" ",F6)+1,10))-VALUE(LEFT(F6,FIND(" ",F6)-1)),0))</f>
        <v>10</v>
      </c>
      <c r="G30" s="6" cm="1">
        <f t="array" ref="G30">IF(OR(G6="M",G6="M8",G6="M9",G6="M10",G6="M15",G6="M16",G6="E",G6="E13",G6="E14",G6="E15",G6="E16",G6="A",G6="S",G6="O",G6="早",G6="午",G6="晚",G6="x",G6="X",G6=""),_xlfn.IFS(G6="M",9,G6="M8",5,G6="M9",9,G6="M10",8,G6="M15",7,G6="M16",8,G6="E",5,G6="E13",9,G6="E14",8,G6="E15",7,G6="E16",6,G6="A",10,G6="S",9,G6="O",0,G6="早",4.5,G6="午",4,G6="晚",4,G6="x",0,G6="X",0,G6="",0,TRUE,0),IF(ISNUMBER(FIND(" ",G6)),VALUE(MID(G6,FIND(" ",G6)+1,10))-VALUE(LEFT(G6,FIND(" ",G6)-1)),0))</f>
        <v>5</v>
      </c>
      <c r="H30" s="6" cm="1">
        <f t="array" ref="H30">IF(OR(H6="M",H6="M8",H6="M9",H6="M10",H6="M15",H6="M16",H6="E",H6="E13",H6="E14",H6="E15",H6="E16",H6="A",H6="S",H6="O",H6="早",H6="午",H6="晚",H6="x",H6="X",H6=""),_xlfn.IFS(H6="M",9,H6="M8",5,H6="M9",9,H6="M10",8,H6="M15",7,H6="M16",8,H6="E",5,H6="E13",9,H6="E14",8,H6="E15",7,H6="E16",6,H6="A",10,H6="S",9,H6="O",0,H6="早",4.5,H6="午",4,H6="晚",4,H6="x",0,H6="X",0,H6="",0,TRUE,0),IF(ISNUMBER(FIND(" ",H6)),VALUE(MID(H6,FIND(" ",H6)+1,10))-VALUE(LEFT(H6,FIND(" ",H6)-1)),0))</f>
        <v>0</v>
      </c>
      <c r="I30" s="6" cm="1">
        <f t="array" ref="I30">IF(OR(I6="M",I6="M8",I6="M9",I6="M10",I6="M15",I6="M16",I6="E",I6="E13",I6="E14",I6="E15",I6="E16",I6="A",I6="S",I6="O",I6="早",I6="午",I6="晚",I6="x",I6="X",I6=""),_xlfn.IFS(I6="M",9,I6="M8",5,I6="M9",9,I6="M10",8,I6="M15",7,I6="M16",8,I6="E",5,I6="E13",9,I6="E14",8,I6="E15",7,I6="E16",6,I6="A",10,I6="S",9,I6="O",0,I6="早",4.5,I6="午",4,I6="晚",4,I6="x",0,I6="X",0,I6="",0,TRUE,0),IF(ISNUMBER(FIND(" ",I6)),VALUE(MID(I6,FIND(" ",I6)+1,10))-VALUE(LEFT(I6,FIND(" ",I6)-1)),0))</f>
        <v>9</v>
      </c>
      <c r="J30" s="6" cm="1">
        <f t="array" ref="J30">IF(OR(J6="M",J6="M8",J6="M9",J6="M10",J6="M15",J6="M16",J6="E",J6="E13",J6="E14",J6="E15",J6="E16",J6="A",J6="S",J6="O",J6="早",J6="午",J6="晚",J6="x",J6="X",J6=""),_xlfn.IFS(J6="M",9,J6="M8",5,J6="M9",9,J6="M10",8,J6="M15",7,J6="M16",8,J6="E",5,J6="E13",9,J6="E14",8,J6="E15",7,J6="E16",6,J6="A",10,J6="S",9,J6="O",0,J6="早",4.5,J6="午",4,J6="晚",4,J6="x",0,J6="X",0,J6="",0,TRUE,0),IF(ISNUMBER(FIND(" ",J6)),VALUE(MID(J6,FIND(" ",J6)+1,10))-VALUE(LEFT(J6,FIND(" ",J6)-1)),0))</f>
        <v>9</v>
      </c>
      <c r="K30" s="6" cm="1">
        <f t="array" ref="K30">IF(OR(K6="M",K6="M8",K6="M9",K6="M10",K6="M15",K6="M16",K6="E",K6="E13",K6="E14",K6="E15",K6="E16",K6="A",K6="S",K6="O",K6="早",K6="午",K6="晚",K6="x",K6="X",K6=""),_xlfn.IFS(K6="M",9,K6="M8",5,K6="M9",9,K6="M10",8,K6="M15",7,K6="M16",8,K6="E",5,K6="E13",9,K6="E14",8,K6="E15",7,K6="E16",6,K6="A",10,K6="S",9,K6="O",0,K6="早",4.5,K6="午",4,K6="晚",4,K6="x",0,K6="X",0,K6="",0,TRUE,0),IF(ISNUMBER(FIND(" ",K6)),VALUE(MID(K6,FIND(" ",K6)+1,10))-VALUE(LEFT(K6,FIND(" ",K6)-1)),0))</f>
        <v>5</v>
      </c>
      <c r="L30" s="6" cm="1">
        <f t="array" ref="L30">IF(OR(L6="M",L6="M8",L6="M9",L6="M10",L6="M15",L6="M16",L6="E",L6="E13",L6="E14",L6="E15",L6="E16",L6="A",L6="S",L6="O",L6="早",L6="午",L6="晚",L6="x",L6="X",L6=""),_xlfn.IFS(L6="M",9,L6="M8",5,L6="M9",9,L6="M10",8,L6="M15",7,L6="M16",8,L6="E",5,L6="E13",9,L6="E14",8,L6="E15",7,L6="E16",6,L6="A",10,L6="S",9,L6="O",0,L6="早",4.5,L6="午",4,L6="晚",4,L6="x",0,L6="X",0,L6="",0,TRUE,0),IF(ISNUMBER(FIND(" ",L6)),VALUE(MID(L6,FIND(" ",L6)+1,10))-VALUE(LEFT(L6,FIND(" ",L6)-1)),0))</f>
        <v>5</v>
      </c>
      <c r="M30" s="6" cm="1">
        <f t="array" ref="M30">IF(OR(M6="M",M6="M8",M6="M9",M6="M10",M6="M15",M6="M16",M6="E",M6="E13",M6="E14",M6="E15",M6="E16",M6="A",M6="S",M6="O",M6="早",M6="午",M6="晚",M6="x",M6="X",M6=""),_xlfn.IFS(M6="M",9,M6="M8",5,M6="M9",9,M6="M10",8,M6="M15",7,M6="M16",8,M6="E",5,M6="E13",9,M6="E14",8,M6="E15",7,M6="E16",6,M6="A",10,M6="S",9,M6="O",0,M6="早",4.5,M6="午",4,M6="晚",4,M6="x",0,M6="X",0,M6="",0,TRUE,0),IF(ISNUMBER(FIND(" ",M6)),VALUE(MID(M6,FIND(" ",M6)+1,10))-VALUE(LEFT(M6,FIND(" ",M6)-1)),0))</f>
        <v>0</v>
      </c>
      <c r="N30" s="6" cm="1">
        <f t="array" ref="N30">IF(OR(N6="M",N6="M8",N6="M9",N6="M10",N6="M15",N6="M16",N6="E",N6="E13",N6="E14",N6="E15",N6="E16",N6="A",N6="S",N6="O",N6="早",N6="午",N6="晚",N6="x",N6="X",N6=""),_xlfn.IFS(N6="M",9,N6="M8",5,N6="M9",9,N6="M10",8,N6="M15",7,N6="M16",8,N6="E",5,N6="E13",9,N6="E14",8,N6="E15",7,N6="E16",6,N6="A",10,N6="S",9,N6="O",0,N6="早",4.5,N6="午",4,N6="晚",4,N6="x",0,N6="X",0,N6="",0,TRUE,0),IF(ISNUMBER(FIND(" ",N6)),VALUE(MID(N6,FIND(" ",N6)+1,10))-VALUE(LEFT(N6,FIND(" ",N6)-1)),0))</f>
        <v>9</v>
      </c>
      <c r="O30" s="6" cm="1">
        <f t="array" ref="O30">IF(OR(O6="M",O6="M8",O6="M9",O6="M10",O6="M15",O6="M16",O6="E",O6="E13",O6="E14",O6="E15",O6="E16",O6="A",O6="S",O6="O",O6="早",O6="午",O6="晚",O6="x",O6="X",O6=""),_xlfn.IFS(O6="M",9,O6="M8",5,O6="M9",9,O6="M10",8,O6="M15",7,O6="M16",8,O6="E",5,O6="E13",9,O6="E14",8,O6="E15",7,O6="E16",6,O6="A",10,O6="S",9,O6="O",0,O6="早",4.5,O6="午",4,O6="晚",4,O6="x",0,O6="X",0,O6="",0,TRUE,0),IF(ISNUMBER(FIND(" ",O6)),VALUE(MID(O6,FIND(" ",O6)+1,10))-VALUE(LEFT(O6,FIND(" ",O6)-1)),0))</f>
        <v>5</v>
      </c>
      <c r="P30" s="6" cm="1">
        <f t="array" ref="P30">IF(OR(P6="M",P6="M8",P6="M9",P6="M10",P6="M15",P6="M16",P6="E",P6="E13",P6="E14",P6="E15",P6="E16",P6="A",P6="S",P6="O",P6="早",P6="午",P6="晚",P6="x",P6="X",P6=""),_xlfn.IFS(P6="M",9,P6="M8",5,P6="M9",9,P6="M10",8,P6="M15",7,P6="M16",8,P6="E",5,P6="E13",9,P6="E14",8,P6="E15",7,P6="E16",6,P6="A",10,P6="S",9,P6="O",0,P6="早",4.5,P6="午",4,P6="晚",4,P6="x",0,P6="X",0,P6="",0,TRUE,0),IF(ISNUMBER(FIND(" ",P6)),VALUE(MID(P6,FIND(" ",P6)+1,10))-VALUE(LEFT(P6,FIND(" ",P6)-1)),0))</f>
        <v>5</v>
      </c>
      <c r="Q30" s="6" cm="1">
        <f t="array" ref="Q30">IF(OR(Q6="M",Q6="M8",Q6="M9",Q6="M10",Q6="M15",Q6="M16",Q6="E",Q6="E13",Q6="E14",Q6="E15",Q6="E16",Q6="A",Q6="S",Q6="O",Q6="早",Q6="午",Q6="晚",Q6="x",Q6="X",Q6=""),_xlfn.IFS(Q6="M",9,Q6="M8",5,Q6="M9",9,Q6="M10",8,Q6="M15",7,Q6="M16",8,Q6="E",5,Q6="E13",9,Q6="E14",8,Q6="E15",7,Q6="E16",6,Q6="A",10,Q6="S",9,Q6="O",0,Q6="早",4.5,Q6="午",4,Q6="晚",4,Q6="x",0,Q6="X",0,Q6="",0,TRUE,0),IF(ISNUMBER(FIND(" ",Q6)),VALUE(MID(Q6,FIND(" ",Q6)+1,10))-VALUE(LEFT(Q6,FIND(" ",Q6)-1)),0))</f>
        <v>0</v>
      </c>
      <c r="R30" s="6" cm="1">
        <f t="array" ref="R30">IF(OR(R6="M",R6="M8",R6="M9",R6="M10",R6="M15",R6="M16",R6="E",R6="E13",R6="E14",R6="E15",R6="E16",R6="A",R6="S",R6="O",R6="早",R6="午",R6="晚",R6="x",R6="X",R6=""),_xlfn.IFS(R6="M",9,R6="M8",5,R6="M9",9,R6="M10",8,R6="M15",7,R6="M16",8,R6="E",5,R6="E13",9,R6="E14",8,R6="E15",7,R6="E16",6,R6="A",10,R6="S",9,R6="O",0,R6="早",4.5,R6="午",4,R6="晚",4,R6="x",0,R6="X",0,R6="",0,TRUE,0),IF(ISNUMBER(FIND(" ",R6)),VALUE(MID(R6,FIND(" ",R6)+1,10))-VALUE(LEFT(R6,FIND(" ",R6)-1)),0))</f>
        <v>5</v>
      </c>
      <c r="S30" s="6" cm="1">
        <f t="array" ref="S30">IF(OR(S6="M",S6="M8",S6="M9",S6="M10",S6="M15",S6="M16",S6="E",S6="E13",S6="E14",S6="E15",S6="E16",S6="A",S6="S",S6="O",S6="早",S6="午",S6="晚",S6="x",S6="X",S6=""),_xlfn.IFS(S6="M",9,S6="M8",5,S6="M9",9,S6="M10",8,S6="M15",7,S6="M16",8,S6="E",5,S6="E13",9,S6="E14",8,S6="E15",7,S6="E16",6,S6="A",10,S6="S",9,S6="O",0,S6="早",4.5,S6="午",4,S6="晚",4,S6="x",0,S6="X",0,S6="",0,TRUE,0),IF(ISNUMBER(FIND(" ",S6)),VALUE(MID(S6,FIND(" ",S6)+1,10))-VALUE(LEFT(S6,FIND(" ",S6)-1)),0))</f>
        <v>5</v>
      </c>
      <c r="T30" s="6" cm="1">
        <f t="array" ref="T30">IF(OR(T6="M",T6="M8",T6="M9",T6="M10",T6="M15",T6="M16",T6="E",T6="E13",T6="E14",T6="E15",T6="E16",T6="A",T6="S",T6="O",T6="早",T6="午",T6="晚",T6="x",T6="X",T6=""),_xlfn.IFS(T6="M",9,T6="M8",5,T6="M9",9,T6="M10",8,T6="M15",7,T6="M16",8,T6="E",5,T6="E13",9,T6="E14",8,T6="E15",7,T6="E16",6,T6="A",10,T6="S",9,T6="O",0,T6="早",4.5,T6="午",4,T6="晚",4,T6="x",0,T6="X",0,T6="",0,TRUE,0),IF(ISNUMBER(FIND(" ",T6)),VALUE(MID(T6,FIND(" ",T6)+1,10))-VALUE(LEFT(T6,FIND(" ",T6)-1)),0))</f>
        <v>0</v>
      </c>
      <c r="U30" s="6" cm="1">
        <f t="array" ref="U30">IF(OR(U6="M",U6="M8",U6="M9",U6="M10",U6="M15",U6="M16",U6="E",U6="E13",U6="E14",U6="E15",U6="E16",U6="A",U6="S",U6="O",U6="早",U6="午",U6="晚",U6="x",U6="X",U6=""),_xlfn.IFS(U6="M",9,U6="M8",5,U6="M9",9,U6="M10",8,U6="M15",7,U6="M16",8,U6="E",5,U6="E13",9,U6="E14",8,U6="E15",7,U6="E16",6,U6="A",10,U6="S",9,U6="O",0,U6="早",4.5,U6="午",4,U6="晚",4,U6="x",0,U6="X",0,U6="",0,TRUE,0),IF(ISNUMBER(FIND(" ",U6)),VALUE(MID(U6,FIND(" ",U6)+1,10))-VALUE(LEFT(U6,FIND(" ",U6)-1)),0))</f>
        <v>5</v>
      </c>
      <c r="V30" s="6" cm="1">
        <f t="array" ref="V30">IF(OR(V6="M",V6="M8",V6="M9",V6="M10",V6="M15",V6="M16",V6="E",V6="E13",V6="E14",V6="E15",V6="E16",V6="A",V6="S",V6="O",V6="早",V6="午",V6="晚",V6="x",V6="X",V6=""),_xlfn.IFS(V6="M",9,V6="M8",5,V6="M9",9,V6="M10",8,V6="M15",7,V6="M16",8,V6="E",5,V6="E13",9,V6="E14",8,V6="E15",7,V6="E16",6,V6="A",10,V6="S",9,V6="O",0,V6="早",4.5,V6="午",4,V6="晚",4,V6="x",0,V6="X",0,V6="",0,TRUE,0),IF(ISNUMBER(FIND(" ",V6)),VALUE(MID(V6,FIND(" ",V6)+1,10))-VALUE(LEFT(V6,FIND(" ",V6)-1)),0))</f>
        <v>9</v>
      </c>
      <c r="W30" s="6" cm="1">
        <f t="array" ref="W30">IF(OR(W6="M",W6="M8",W6="M9",W6="M10",W6="M15",W6="M16",W6="E",W6="E13",W6="E14",W6="E15",W6="E16",W6="A",W6="S",W6="O",W6="早",W6="午",W6="晚",W6="x",W6="X",W6=""),_xlfn.IFS(W6="M",9,W6="M8",5,W6="M9",9,W6="M10",8,W6="M15",7,W6="M16",8,W6="E",5,W6="E13",9,W6="E14",8,W6="E15",7,W6="E16",6,W6="A",10,W6="S",9,W6="O",0,W6="早",4.5,W6="午",4,W6="晚",4,W6="x",0,W6="X",0,W6="",0,TRUE,0),IF(ISNUMBER(FIND(" ",W6)),VALUE(MID(W6,FIND(" ",W6)+1,10))-VALUE(LEFT(W6,FIND(" ",W6)-1)),0))</f>
        <v>0</v>
      </c>
      <c r="X30" s="6" cm="1">
        <f t="array" ref="X30">IF(OR(X6="M",X6="M8",X6="M9",X6="M10",X6="M15",X6="M16",X6="E",X6="E13",X6="E14",X6="E15",X6="E16",X6="A",X6="S",X6="O",X6="早",X6="午",X6="晚",X6="x",X6="X",X6=""),_xlfn.IFS(X6="M",9,X6="M8",5,X6="M9",9,X6="M10",8,X6="M15",7,X6="M16",8,X6="E",5,X6="E13",9,X6="E14",8,X6="E15",7,X6="E16",6,X6="A",10,X6="S",9,X6="O",0,X6="早",4.5,X6="午",4,X6="晚",4,X6="x",0,X6="X",0,X6="",0,TRUE,0),IF(ISNUMBER(FIND(" ",X6)),VALUE(MID(X6,FIND(" ",X6)+1,10))-VALUE(LEFT(X6,FIND(" ",X6)-1)),0))</f>
        <v>9</v>
      </c>
      <c r="Y30" s="6" cm="1">
        <f t="array" ref="Y30">IF(OR(Y6="M",Y6="M8",Y6="M9",Y6="M10",Y6="M15",Y6="M16",Y6="E",Y6="E13",Y6="E14",Y6="E15",Y6="E16",Y6="A",Y6="S",Y6="O",Y6="早",Y6="午",Y6="晚",Y6="x",Y6="X",Y6=""),_xlfn.IFS(Y6="M",9,Y6="M8",5,Y6="M9",9,Y6="M10",8,Y6="M15",7,Y6="M16",8,Y6="E",5,Y6="E13",9,Y6="E14",8,Y6="E15",7,Y6="E16",6,Y6="A",10,Y6="S",9,Y6="O",0,Y6="早",4.5,Y6="午",4,Y6="晚",4,Y6="x",0,Y6="X",0,Y6="",0,TRUE,0),IF(ISNUMBER(FIND(" ",Y6)),VALUE(MID(Y6,FIND(" ",Y6)+1,10))-VALUE(LEFT(Y6,FIND(" ",Y6)-1)),0))</f>
        <v>0</v>
      </c>
      <c r="Z30" s="6" cm="1">
        <f t="array" ref="Z30">IF(OR(Z6="M",Z6="M8",Z6="M9",Z6="M10",Z6="M15",Z6="M16",Z6="E",Z6="E13",Z6="E14",Z6="E15",Z6="E16",Z6="A",Z6="S",Z6="O",Z6="早",Z6="午",Z6="晚",Z6="x",Z6="X",Z6=""),_xlfn.IFS(Z6="M",9,Z6="M8",5,Z6="M9",9,Z6="M10",8,Z6="M15",7,Z6="M16",8,Z6="E",5,Z6="E13",9,Z6="E14",8,Z6="E15",7,Z6="E16",6,Z6="A",10,Z6="S",9,Z6="O",0,Z6="早",4.5,Z6="午",4,Z6="晚",4,Z6="x",0,Z6="X",0,Z6="",0,TRUE,0),IF(ISNUMBER(FIND(" ",Z6)),VALUE(MID(Z6,FIND(" ",Z6)+1,10))-VALUE(LEFT(Z6,FIND(" ",Z6)-1)),0))</f>
        <v>7</v>
      </c>
      <c r="AA30" s="6" cm="1">
        <f t="array" ref="AA30">IF(OR(AA6="M",AA6="M8",AA6="M9",AA6="M10",AA6="M15",AA6="M16",AA6="E",AA6="E13",AA6="E14",AA6="E15",AA6="E16",AA6="A",AA6="S",AA6="O",AA6="早",AA6="午",AA6="晚",AA6="x",AA6="X",AA6=""),_xlfn.IFS(AA6="M",9,AA6="M8",5,AA6="M9",9,AA6="M10",8,AA6="M15",7,AA6="M16",8,AA6="E",5,AA6="E13",9,AA6="E14",8,AA6="E15",7,AA6="E16",6,AA6="A",10,AA6="S",9,AA6="O",0,AA6="早",4.5,AA6="午",4,AA6="晚",4,AA6="x",0,AA6="X",0,AA6="",0,TRUE,0),IF(ISNUMBER(FIND(" ",AA6)),VALUE(MID(AA6,FIND(" ",AA6)+1,10))-VALUE(LEFT(AA6,FIND(" ",AA6)-1)),0))</f>
        <v>0</v>
      </c>
      <c r="AB30" s="6" cm="1">
        <f t="array" ref="AB30">IF(OR(AB6="M",AB6="M8",AB6="M9",AB6="M10",AB6="M15",AB6="M16",AB6="E",AB6="E13",AB6="E14",AB6="E15",AB6="E16",AB6="A",AB6="S",AB6="O",AB6="早",AB6="午",AB6="晚",AB6="x",AB6="X",AB6=""),_xlfn.IFS(AB6="M",9,AB6="M8",5,AB6="M9",9,AB6="M10",8,AB6="M15",7,AB6="M16",8,AB6="E",5,AB6="E13",9,AB6="E14",8,AB6="E15",7,AB6="E16",6,AB6="A",10,AB6="S",9,AB6="O",0,AB6="早",4.5,AB6="午",4,AB6="晚",4,AB6="x",0,AB6="X",0,AB6="",0,TRUE,0),IF(ISNUMBER(FIND(" ",AB6)),VALUE(MID(AB6,FIND(" ",AB6)+1,10))-VALUE(LEFT(AB6,FIND(" ",AB6)-1)),0))</f>
        <v>0</v>
      </c>
      <c r="AC30" s="6" cm="1">
        <f t="array" ref="AC30">IF(OR(AC6="M",AC6="M8",AC6="M9",AC6="M10",AC6="M15",AC6="M16",AC6="E",AC6="E13",AC6="E14",AC6="E15",AC6="E16",AC6="A",AC6="S",AC6="O",AC6="早",AC6="午",AC6="晚",AC6="x",AC6="X",AC6=""),_xlfn.IFS(AC6="M",9,AC6="M8",5,AC6="M9",9,AC6="M10",8,AC6="M15",7,AC6="M16",8,AC6="E",5,AC6="E13",9,AC6="E14",8,AC6="E15",7,AC6="E16",6,AC6="A",10,AC6="S",9,AC6="O",0,AC6="早",4.5,AC6="午",4,AC6="晚",4,AC6="x",0,AC6="X",0,AC6="",0,TRUE,0),IF(ISNUMBER(FIND(" ",AC6)),VALUE(MID(AC6,FIND(" ",AC6)+1,10))-VALUE(LEFT(AC6,FIND(" ",AC6)-1)),0))</f>
        <v>0</v>
      </c>
      <c r="AD30" s="6" cm="1">
        <f t="array" ref="AD30">IF(OR(AD6="M",AD6="M8",AD6="M9",AD6="M10",AD6="M15",AD6="M16",AD6="E",AD6="E13",AD6="E14",AD6="E15",AD6="E16",AD6="A",AD6="S",AD6="O",AD6="早",AD6="午",AD6="晚",AD6="x",AD6="X",AD6=""),_xlfn.IFS(AD6="M",9,AD6="M8",5,AD6="M9",9,AD6="M10",8,AD6="M15",7,AD6="M16",8,AD6="E",5,AD6="E13",9,AD6="E14",8,AD6="E15",7,AD6="E16",6,AD6="A",10,AD6="S",9,AD6="O",0,AD6="早",4.5,AD6="午",4,AD6="晚",4,AD6="x",0,AD6="X",0,AD6="",0,TRUE,0),IF(ISNUMBER(FIND(" ",AD6)),VALUE(MID(AD6,FIND(" ",AD6)+1,10))-VALUE(LEFT(AD6,FIND(" ",AD6)-1)),0))</f>
        <v>0</v>
      </c>
      <c r="AE30" s="6" cm="1">
        <f t="array" ref="AE30">IF(OR(AE6="M",AE6="M8",AE6="M9",AE6="M10",AE6="M15",AE6="M16",AE6="E",AE6="E13",AE6="E14",AE6="E15",AE6="E16",AE6="A",AE6="S",AE6="O",AE6="早",AE6="午",AE6="晚",AE6="x",AE6="X",AE6=""),_xlfn.IFS(AE6="M",9,AE6="M8",5,AE6="M9",9,AE6="M10",8,AE6="M15",7,AE6="M16",8,AE6="E",5,AE6="E13",9,AE6="E14",8,AE6="E15",7,AE6="E16",6,AE6="A",10,AE6="S",9,AE6="O",0,AE6="早",4.5,AE6="午",4,AE6="晚",4,AE6="x",0,AE6="X",0,AE6="",0,TRUE,0),IF(ISNUMBER(FIND(" ",AE6)),VALUE(MID(AE6,FIND(" ",AE6)+1,10))-VALUE(LEFT(AE6,FIND(" ",AE6)-1)),0))</f>
        <v>0</v>
      </c>
      <c r="AF30" s="6" cm="1">
        <f t="array" ref="AF30">IF(OR(AF6="M",AF6="M8",AF6="M9",AF6="M10",AF6="M15",AF6="M16",AF6="E",AF6="E13",AF6="E14",AF6="E15",AF6="E16",AF6="A",AF6="S",AF6="O",AF6="早",AF6="午",AF6="晚",AF6="x",AF6="X",AF6=""),_xlfn.IFS(AF6="M",9,AF6="M8",5,AF6="M9",9,AF6="M10",8,AF6="M15",7,AF6="M16",8,AF6="E",5,AF6="E13",9,AF6="E14",8,AF6="E15",7,AF6="E16",6,AF6="A",10,AF6="S",9,AF6="O",0,AF6="早",4.5,AF6="午",4,AF6="晚",4,AF6="x",0,AF6="X",0,AF6="",0,TRUE,0),IF(ISNUMBER(FIND(" ",AF6)),VALUE(MID(AF6,FIND(" ",AF6)+1,10))-VALUE(LEFT(AF6,FIND(" ",AF6)-1)),0))</f>
        <v>0</v>
      </c>
      <c r="AG30" s="6">
        <f t="shared" si="3"/>
        <v>120</v>
      </c>
    </row>
    <row r="31" spans="1:33">
      <c r="A31" s="9" t="s">
        <v>7</v>
      </c>
      <c r="B31" s="6" cm="1">
        <f t="array" ref="B31">IF(OR(B7="M",B7="M8",B7="M9",B7="M10",B7="M15",B7="M16",B7="E",B7="E13",B7="E14",B7="E15",B7="E16",B7="A",B7="S",B7="O",B7="早",B7="午",B7="晚",B7="x",B7="X",B7=""),_xlfn.IFS(B7="M",9,B7="M8",5,B7="M9",9,B7="M10",8,B7="M15",7,B7="M16",8,B7="E",5,B7="E13",9,B7="E14",8,B7="E15",7,B7="E16",6,B7="A",10,B7="S",9,B7="O",0,B7="早",4.5,B7="午",4,B7="晚",4,B7="x",0,B7="X",0,B7="",0,TRUE,0),IF(ISNUMBER(FIND(" ",B7)),VALUE(MID(B7,FIND(" ",B7)+1,10))-VALUE(LEFT(B7,FIND(" ",B7)-1)),0))</f>
        <v>0</v>
      </c>
      <c r="C31" s="6" cm="1">
        <f t="array" ref="C31">IF(OR(C7="M",C7="M8",C7="M9",C7="M10",C7="M15",C7="M16",C7="E",C7="E13",C7="E14",C7="E15",C7="E16",C7="A",C7="S",C7="O",C7="早",C7="午",C7="晚",C7="x",C7="X",C7=""),_xlfn.IFS(C7="M",9,C7="M8",5,C7="M9",9,C7="M10",8,C7="M15",7,C7="M16",8,C7="E",5,C7="E13",9,C7="E14",8,C7="E15",7,C7="E16",6,C7="A",10,C7="S",9,C7="O",0,C7="早",4.5,C7="午",4,C7="晚",4,C7="x",0,C7="X",0,C7="",0,TRUE,0),IF(ISNUMBER(FIND(" ",C7)),VALUE(MID(C7,FIND(" ",C7)+1,10))-VALUE(LEFT(C7,FIND(" ",C7)-1)),0))</f>
        <v>0</v>
      </c>
      <c r="D31" s="6" cm="1">
        <f t="array" ref="D31">IF(OR(D7="M",D7="M8",D7="M9",D7="M10",D7="M15",D7="M16",D7="E",D7="E13",D7="E14",D7="E15",D7="E16",D7="A",D7="S",D7="O",D7="早",D7="午",D7="晚",D7="x",D7="X",D7=""),_xlfn.IFS(D7="M",9,D7="M8",5,D7="M9",9,D7="M10",8,D7="M15",7,D7="M16",8,D7="E",5,D7="E13",9,D7="E14",8,D7="E15",7,D7="E16",6,D7="A",10,D7="S",9,D7="O",0,D7="早",4.5,D7="午",4,D7="晚",4,D7="x",0,D7="X",0,D7="",0,TRUE,0),IF(ISNUMBER(FIND(" ",D7)),VALUE(MID(D7,FIND(" ",D7)+1,10))-VALUE(LEFT(D7,FIND(" ",D7)-1)),0))</f>
        <v>5</v>
      </c>
      <c r="E31" s="6" cm="1">
        <f t="array" ref="E31">IF(OR(E7="M",E7="M8",E7="M9",E7="M10",E7="M15",E7="M16",E7="E",E7="E13",E7="E14",E7="E15",E7="E16",E7="A",E7="S",E7="O",E7="早",E7="午",E7="晚",E7="x",E7="X",E7=""),_xlfn.IFS(E7="M",9,E7="M8",5,E7="M9",9,E7="M10",8,E7="M15",7,E7="M16",8,E7="E",5,E7="E13",9,E7="E14",8,E7="E15",7,E7="E16",6,E7="A",10,E7="S",9,E7="O",0,E7="早",4.5,E7="午",4,E7="晚",4,E7="x",0,E7="X",0,E7="",0,TRUE,0),IF(ISNUMBER(FIND(" ",E7)),VALUE(MID(E7,FIND(" ",E7)+1,10))-VALUE(LEFT(E7,FIND(" ",E7)-1)),0))</f>
        <v>0</v>
      </c>
      <c r="F31" s="6" cm="1">
        <f t="array" ref="F31">IF(OR(F7="M",F7="M8",F7="M9",F7="M10",F7="M15",F7="M16",F7="E",F7="E13",F7="E14",F7="E15",F7="E16",F7="A",F7="S",F7="O",F7="早",F7="午",F7="晚",F7="x",F7="X",F7=""),_xlfn.IFS(F7="M",9,F7="M8",5,F7="M9",9,F7="M10",8,F7="M15",7,F7="M16",8,F7="E",5,F7="E13",9,F7="E14",8,F7="E15",7,F7="E16",6,F7="A",10,F7="S",9,F7="O",0,F7="早",4.5,F7="午",4,F7="晚",4,F7="x",0,F7="X",0,F7="",0,TRUE,0),IF(ISNUMBER(FIND(" ",F7)),VALUE(MID(F7,FIND(" ",F7)+1,10))-VALUE(LEFT(F7,FIND(" ",F7)-1)),0))</f>
        <v>0</v>
      </c>
      <c r="G31" s="6" cm="1">
        <f t="array" ref="G31">IF(OR(G7="M",G7="M8",G7="M9",G7="M10",G7="M15",G7="M16",G7="E",G7="E13",G7="E14",G7="E15",G7="E16",G7="A",G7="S",G7="O",G7="早",G7="午",G7="晚",G7="x",G7="X",G7=""),_xlfn.IFS(G7="M",9,G7="M8",5,G7="M9",9,G7="M10",8,G7="M15",7,G7="M16",8,G7="E",5,G7="E13",9,G7="E14",8,G7="E15",7,G7="E16",6,G7="A",10,G7="S",9,G7="O",0,G7="早",4.5,G7="午",4,G7="晚",4,G7="x",0,G7="X",0,G7="",0,TRUE,0),IF(ISNUMBER(FIND(" ",G7)),VALUE(MID(G7,FIND(" ",G7)+1,10))-VALUE(LEFT(G7,FIND(" ",G7)-1)),0))</f>
        <v>0</v>
      </c>
      <c r="H31" s="6" cm="1">
        <f t="array" ref="H31">IF(OR(H7="M",H7="M8",H7="M9",H7="M10",H7="M15",H7="M16",H7="E",H7="E13",H7="E14",H7="E15",H7="E16",H7="A",H7="S",H7="O",H7="早",H7="午",H7="晚",H7="x",H7="X",H7=""),_xlfn.IFS(H7="M",9,H7="M8",5,H7="M9",9,H7="M10",8,H7="M15",7,H7="M16",8,H7="E",5,H7="E13",9,H7="E14",8,H7="E15",7,H7="E16",6,H7="A",10,H7="S",9,H7="O",0,H7="早",4.5,H7="午",4,H7="晚",4,H7="x",0,H7="X",0,H7="",0,TRUE,0),IF(ISNUMBER(FIND(" ",H7)),VALUE(MID(H7,FIND(" ",H7)+1,10))-VALUE(LEFT(H7,FIND(" ",H7)-1)),0))</f>
        <v>0</v>
      </c>
      <c r="I31" s="6" cm="1">
        <f t="array" ref="I31">IF(OR(I7="M",I7="M8",I7="M9",I7="M10",I7="M15",I7="M16",I7="E",I7="E13",I7="E14",I7="E15",I7="E16",I7="A",I7="S",I7="O",I7="早",I7="午",I7="晚",I7="x",I7="X",I7=""),_xlfn.IFS(I7="M",9,I7="M8",5,I7="M9",9,I7="M10",8,I7="M15",7,I7="M16",8,I7="E",5,I7="E13",9,I7="E14",8,I7="E15",7,I7="E16",6,I7="A",10,I7="S",9,I7="O",0,I7="早",4.5,I7="午",4,I7="晚",4,I7="x",0,I7="X",0,I7="",0,TRUE,0),IF(ISNUMBER(FIND(" ",I7)),VALUE(MID(I7,FIND(" ",I7)+1,10))-VALUE(LEFT(I7,FIND(" ",I7)-1)),0))</f>
        <v>5</v>
      </c>
      <c r="J31" s="6" cm="1">
        <f t="array" ref="J31">IF(OR(J7="M",J7="M8",J7="M9",J7="M10",J7="M15",J7="M16",J7="E",J7="E13",J7="E14",J7="E15",J7="E16",J7="A",J7="S",J7="O",J7="早",J7="午",J7="晚",J7="x",J7="X",J7=""),_xlfn.IFS(J7="M",9,J7="M8",5,J7="M9",9,J7="M10",8,J7="M15",7,J7="M16",8,J7="E",5,J7="E13",9,J7="E14",8,J7="E15",7,J7="E16",6,J7="A",10,J7="S",9,J7="O",0,J7="早",4.5,J7="午",4,J7="晚",4,J7="x",0,J7="X",0,J7="",0,TRUE,0),IF(ISNUMBER(FIND(" ",J7)),VALUE(MID(J7,FIND(" ",J7)+1,10))-VALUE(LEFT(J7,FIND(" ",J7)-1)),0))</f>
        <v>0</v>
      </c>
      <c r="K31" s="6" cm="1">
        <f t="array" ref="K31">IF(OR(K7="M",K7="M8",K7="M9",K7="M10",K7="M15",K7="M16",K7="E",K7="E13",K7="E14",K7="E15",K7="E16",K7="A",K7="S",K7="O",K7="早",K7="午",K7="晚",K7="x",K7="X",K7=""),_xlfn.IFS(K7="M",9,K7="M8",5,K7="M9",9,K7="M10",8,K7="M15",7,K7="M16",8,K7="E",5,K7="E13",9,K7="E14",8,K7="E15",7,K7="E16",6,K7="A",10,K7="S",9,K7="O",0,K7="早",4.5,K7="午",4,K7="晚",4,K7="x",0,K7="X",0,K7="",0,TRUE,0),IF(ISNUMBER(FIND(" ",K7)),VALUE(MID(K7,FIND(" ",K7)+1,10))-VALUE(LEFT(K7,FIND(" ",K7)-1)),0))</f>
        <v>0</v>
      </c>
      <c r="L31" s="6" cm="1">
        <f t="array" ref="L31">IF(OR(L7="M",L7="M8",L7="M9",L7="M10",L7="M15",L7="M16",L7="E",L7="E13",L7="E14",L7="E15",L7="E16",L7="A",L7="S",L7="O",L7="早",L7="午",L7="晚",L7="x",L7="X",L7=""),_xlfn.IFS(L7="M",9,L7="M8",5,L7="M9",9,L7="M10",8,L7="M15",7,L7="M16",8,L7="E",5,L7="E13",9,L7="E14",8,L7="E15",7,L7="E16",6,L7="A",10,L7="S",9,L7="O",0,L7="早",4.5,L7="午",4,L7="晚",4,L7="x",0,L7="X",0,L7="",0,TRUE,0),IF(ISNUMBER(FIND(" ",L7)),VALUE(MID(L7,FIND(" ",L7)+1,10))-VALUE(LEFT(L7,FIND(" ",L7)-1)),0))</f>
        <v>0</v>
      </c>
      <c r="M31" s="6" cm="1">
        <f t="array" ref="M31">IF(OR(M7="M",M7="M8",M7="M9",M7="M10",M7="M15",M7="M16",M7="E",M7="E13",M7="E14",M7="E15",M7="E16",M7="A",M7="S",M7="O",M7="早",M7="午",M7="晚",M7="x",M7="X",M7=""),_xlfn.IFS(M7="M",9,M7="M8",5,M7="M9",9,M7="M10",8,M7="M15",7,M7="M16",8,M7="E",5,M7="E13",9,M7="E14",8,M7="E15",7,M7="E16",6,M7="A",10,M7="S",9,M7="O",0,M7="早",4.5,M7="午",4,M7="晚",4,M7="x",0,M7="X",0,M7="",0,TRUE,0),IF(ISNUMBER(FIND(" ",M7)),VALUE(MID(M7,FIND(" ",M7)+1,10))-VALUE(LEFT(M7,FIND(" ",M7)-1)),0))</f>
        <v>0</v>
      </c>
      <c r="N31" s="6" cm="1">
        <f t="array" ref="N31">IF(OR(N7="M",N7="M8",N7="M9",N7="M10",N7="M15",N7="M16",N7="E",N7="E13",N7="E14",N7="E15",N7="E16",N7="A",N7="S",N7="O",N7="早",N7="午",N7="晚",N7="x",N7="X",N7=""),_xlfn.IFS(N7="M",9,N7="M8",5,N7="M9",9,N7="M10",8,N7="M15",7,N7="M16",8,N7="E",5,N7="E13",9,N7="E14",8,N7="E15",7,N7="E16",6,N7="A",10,N7="S",9,N7="O",0,N7="早",4.5,N7="午",4,N7="晚",4,N7="x",0,N7="X",0,N7="",0,TRUE,0),IF(ISNUMBER(FIND(" ",N7)),VALUE(MID(N7,FIND(" ",N7)+1,10))-VALUE(LEFT(N7,FIND(" ",N7)-1)),0))</f>
        <v>0</v>
      </c>
      <c r="O31" s="6" cm="1">
        <f t="array" ref="O31">IF(OR(O7="M",O7="M8",O7="M9",O7="M10",O7="M15",O7="M16",O7="E",O7="E13",O7="E14",O7="E15",O7="E16",O7="A",O7="S",O7="O",O7="早",O7="午",O7="晚",O7="x",O7="X",O7=""),_xlfn.IFS(O7="M",9,O7="M8",5,O7="M9",9,O7="M10",8,O7="M15",7,O7="M16",8,O7="E",5,O7="E13",9,O7="E14",8,O7="E15",7,O7="E16",6,O7="A",10,O7="S",9,O7="O",0,O7="早",4.5,O7="午",4,O7="晚",4,O7="x",0,O7="X",0,O7="",0,TRUE,0),IF(ISNUMBER(FIND(" ",O7)),VALUE(MID(O7,FIND(" ",O7)+1,10))-VALUE(LEFT(O7,FIND(" ",O7)-1)),0))</f>
        <v>0</v>
      </c>
      <c r="P31" s="6" cm="1">
        <f t="array" ref="P31">IF(OR(P7="M",P7="M8",P7="M9",P7="M10",P7="M15",P7="M16",P7="E",P7="E13",P7="E14",P7="E15",P7="E16",P7="A",P7="S",P7="O",P7="早",P7="午",P7="晚",P7="x",P7="X",P7=""),_xlfn.IFS(P7="M",9,P7="M8",5,P7="M9",9,P7="M10",8,P7="M15",7,P7="M16",8,P7="E",5,P7="E13",9,P7="E14",8,P7="E15",7,P7="E16",6,P7="A",10,P7="S",9,P7="O",0,P7="早",4.5,P7="午",4,P7="晚",4,P7="x",0,P7="X",0,P7="",0,TRUE,0),IF(ISNUMBER(FIND(" ",P7)),VALUE(MID(P7,FIND(" ",P7)+1,10))-VALUE(LEFT(P7,FIND(" ",P7)-1)),0))</f>
        <v>0</v>
      </c>
      <c r="Q31" s="6" cm="1">
        <f t="array" ref="Q31">IF(OR(Q7="M",Q7="M8",Q7="M9",Q7="M10",Q7="M15",Q7="M16",Q7="E",Q7="E13",Q7="E14",Q7="E15",Q7="E16",Q7="A",Q7="S",Q7="O",Q7="早",Q7="午",Q7="晚",Q7="x",Q7="X",Q7=""),_xlfn.IFS(Q7="M",9,Q7="M8",5,Q7="M9",9,Q7="M10",8,Q7="M15",7,Q7="M16",8,Q7="E",5,Q7="E13",9,Q7="E14",8,Q7="E15",7,Q7="E16",6,Q7="A",10,Q7="S",9,Q7="O",0,Q7="早",4.5,Q7="午",4,Q7="晚",4,Q7="x",0,Q7="X",0,Q7="",0,TRUE,0),IF(ISNUMBER(FIND(" ",Q7)),VALUE(MID(Q7,FIND(" ",Q7)+1,10))-VALUE(LEFT(Q7,FIND(" ",Q7)-1)),0))</f>
        <v>0</v>
      </c>
      <c r="R31" s="6" cm="1">
        <f t="array" ref="R31">IF(OR(R7="M",R7="M8",R7="M9",R7="M10",R7="M15",R7="M16",R7="E",R7="E13",R7="E14",R7="E15",R7="E16",R7="A",R7="S",R7="O",R7="早",R7="午",R7="晚",R7="x",R7="X",R7=""),_xlfn.IFS(R7="M",9,R7="M8",5,R7="M9",9,R7="M10",8,R7="M15",7,R7="M16",8,R7="E",5,R7="E13",9,R7="E14",8,R7="E15",7,R7="E16",6,R7="A",10,R7="S",9,R7="O",0,R7="早",4.5,R7="午",4,R7="晚",4,R7="x",0,R7="X",0,R7="",0,TRUE,0),IF(ISNUMBER(FIND(" ",R7)),VALUE(MID(R7,FIND(" ",R7)+1,10))-VALUE(LEFT(R7,FIND(" ",R7)-1)),0))</f>
        <v>0</v>
      </c>
      <c r="S31" s="6" cm="1">
        <f t="array" ref="S31">IF(OR(S7="M",S7="M8",S7="M9",S7="M10",S7="M15",S7="M16",S7="E",S7="E13",S7="E14",S7="E15",S7="E16",S7="A",S7="S",S7="O",S7="早",S7="午",S7="晚",S7="x",S7="X",S7=""),_xlfn.IFS(S7="M",9,S7="M8",5,S7="M9",9,S7="M10",8,S7="M15",7,S7="M16",8,S7="E",5,S7="E13",9,S7="E14",8,S7="E15",7,S7="E16",6,S7="A",10,S7="S",9,S7="O",0,S7="早",4.5,S7="午",4,S7="晚",4,S7="x",0,S7="X",0,S7="",0,TRUE,0),IF(ISNUMBER(FIND(" ",S7)),VALUE(MID(S7,FIND(" ",S7)+1,10))-VALUE(LEFT(S7,FIND(" ",S7)-1)),0))</f>
        <v>0</v>
      </c>
      <c r="T31" s="6" cm="1">
        <f t="array" ref="T31">IF(OR(T7="M",T7="M8",T7="M9",T7="M10",T7="M15",T7="M16",T7="E",T7="E13",T7="E14",T7="E15",T7="E16",T7="A",T7="S",T7="O",T7="早",T7="午",T7="晚",T7="x",T7="X",T7=""),_xlfn.IFS(T7="M",9,T7="M8",5,T7="M9",9,T7="M10",8,T7="M15",7,T7="M16",8,T7="E",5,T7="E13",9,T7="E14",8,T7="E15",7,T7="E16",6,T7="A",10,T7="S",9,T7="O",0,T7="早",4.5,T7="午",4,T7="晚",4,T7="x",0,T7="X",0,T7="",0,TRUE,0),IF(ISNUMBER(FIND(" ",T7)),VALUE(MID(T7,FIND(" ",T7)+1,10))-VALUE(LEFT(T7,FIND(" ",T7)-1)),0))</f>
        <v>0</v>
      </c>
      <c r="U31" s="6" cm="1">
        <f t="array" ref="U31">IF(OR(U7="M",U7="M8",U7="M9",U7="M10",U7="M15",U7="M16",U7="E",U7="E13",U7="E14",U7="E15",U7="E16",U7="A",U7="S",U7="O",U7="早",U7="午",U7="晚",U7="x",U7="X",U7=""),_xlfn.IFS(U7="M",9,U7="M8",5,U7="M9",9,U7="M10",8,U7="M15",7,U7="M16",8,U7="E",5,U7="E13",9,U7="E14",8,U7="E15",7,U7="E16",6,U7="A",10,U7="S",9,U7="O",0,U7="早",4.5,U7="午",4,U7="晚",4,U7="x",0,U7="X",0,U7="",0,TRUE,0),IF(ISNUMBER(FIND(" ",U7)),VALUE(MID(U7,FIND(" ",U7)+1,10))-VALUE(LEFT(U7,FIND(" ",U7)-1)),0))</f>
        <v>0</v>
      </c>
      <c r="V31" s="6" cm="1">
        <f t="array" ref="V31">IF(OR(V7="M",V7="M8",V7="M9",V7="M10",V7="M15",V7="M16",V7="E",V7="E13",V7="E14",V7="E15",V7="E16",V7="A",V7="S",V7="O",V7="早",V7="午",V7="晚",V7="x",V7="X",V7=""),_xlfn.IFS(V7="M",9,V7="M8",5,V7="M9",9,V7="M10",8,V7="M15",7,V7="M16",8,V7="E",5,V7="E13",9,V7="E14",8,V7="E15",7,V7="E16",6,V7="A",10,V7="S",9,V7="O",0,V7="早",4.5,V7="午",4,V7="晚",4,V7="x",0,V7="X",0,V7="",0,TRUE,0),IF(ISNUMBER(FIND(" ",V7)),VALUE(MID(V7,FIND(" ",V7)+1,10))-VALUE(LEFT(V7,FIND(" ",V7)-1)),0))</f>
        <v>0</v>
      </c>
      <c r="W31" s="6" cm="1">
        <f t="array" ref="W31">IF(OR(W7="M",W7="M8",W7="M9",W7="M10",W7="M15",W7="M16",W7="E",W7="E13",W7="E14",W7="E15",W7="E16",W7="A",W7="S",W7="O",W7="早",W7="午",W7="晚",W7="x",W7="X",W7=""),_xlfn.IFS(W7="M",9,W7="M8",5,W7="M9",9,W7="M10",8,W7="M15",7,W7="M16",8,W7="E",5,W7="E13",9,W7="E14",8,W7="E15",7,W7="E16",6,W7="A",10,W7="S",9,W7="O",0,W7="早",4.5,W7="午",4,W7="晚",4,W7="x",0,W7="X",0,W7="",0,TRUE,0),IF(ISNUMBER(FIND(" ",W7)),VALUE(MID(W7,FIND(" ",W7)+1,10))-VALUE(LEFT(W7,FIND(" ",W7)-1)),0))</f>
        <v>0</v>
      </c>
      <c r="X31" s="6" cm="1">
        <f t="array" ref="X31">IF(OR(X7="M",X7="M8",X7="M9",X7="M10",X7="M15",X7="M16",X7="E",X7="E13",X7="E14",X7="E15",X7="E16",X7="A",X7="S",X7="O",X7="早",X7="午",X7="晚",X7="x",X7="X",X7=""),_xlfn.IFS(X7="M",9,X7="M8",5,X7="M9",9,X7="M10",8,X7="M15",7,X7="M16",8,X7="E",5,X7="E13",9,X7="E14",8,X7="E15",7,X7="E16",6,X7="A",10,X7="S",9,X7="O",0,X7="早",4.5,X7="午",4,X7="晚",4,X7="x",0,X7="X",0,X7="",0,TRUE,0),IF(ISNUMBER(FIND(" ",X7)),VALUE(MID(X7,FIND(" ",X7)+1,10))-VALUE(LEFT(X7,FIND(" ",X7)-1)),0))</f>
        <v>0</v>
      </c>
      <c r="Y31" s="6" cm="1">
        <f t="array" ref="Y31">IF(OR(Y7="M",Y7="M8",Y7="M9",Y7="M10",Y7="M15",Y7="M16",Y7="E",Y7="E13",Y7="E14",Y7="E15",Y7="E16",Y7="A",Y7="S",Y7="O",Y7="早",Y7="午",Y7="晚",Y7="x",Y7="X",Y7=""),_xlfn.IFS(Y7="M",9,Y7="M8",5,Y7="M9",9,Y7="M10",8,Y7="M15",7,Y7="M16",8,Y7="E",5,Y7="E13",9,Y7="E14",8,Y7="E15",7,Y7="E16",6,Y7="A",10,Y7="S",9,Y7="O",0,Y7="早",4.5,Y7="午",4,Y7="晚",4,Y7="x",0,Y7="X",0,Y7="",0,TRUE,0),IF(ISNUMBER(FIND(" ",Y7)),VALUE(MID(Y7,FIND(" ",Y7)+1,10))-VALUE(LEFT(Y7,FIND(" ",Y7)-1)),0))</f>
        <v>5</v>
      </c>
      <c r="Z31" s="6" cm="1">
        <f t="array" ref="Z31">IF(OR(Z7="M",Z7="M8",Z7="M9",Z7="M10",Z7="M15",Z7="M16",Z7="E",Z7="E13",Z7="E14",Z7="E15",Z7="E16",Z7="A",Z7="S",Z7="O",Z7="早",Z7="午",Z7="晚",Z7="x",Z7="X",Z7=""),_xlfn.IFS(Z7="M",9,Z7="M8",5,Z7="M9",9,Z7="M10",8,Z7="M15",7,Z7="M16",8,Z7="E",5,Z7="E13",9,Z7="E14",8,Z7="E15",7,Z7="E16",6,Z7="A",10,Z7="S",9,Z7="O",0,Z7="早",4.5,Z7="午",4,Z7="晚",4,Z7="x",0,Z7="X",0,Z7="",0,TRUE,0),IF(ISNUMBER(FIND(" ",Z7)),VALUE(MID(Z7,FIND(" ",Z7)+1,10))-VALUE(LEFT(Z7,FIND(" ",Z7)-1)),0))</f>
        <v>0</v>
      </c>
      <c r="AA31" s="6" cm="1">
        <f t="array" ref="AA31">IF(OR(AA7="M",AA7="M8",AA7="M9",AA7="M10",AA7="M15",AA7="M16",AA7="E",AA7="E13",AA7="E14",AA7="E15",AA7="E16",AA7="A",AA7="S",AA7="O",AA7="早",AA7="午",AA7="晚",AA7="x",AA7="X",AA7=""),_xlfn.IFS(AA7="M",9,AA7="M8",5,AA7="M9",9,AA7="M10",8,AA7="M15",7,AA7="M16",8,AA7="E",5,AA7="E13",9,AA7="E14",8,AA7="E15",7,AA7="E16",6,AA7="A",10,AA7="S",9,AA7="O",0,AA7="早",4.5,AA7="午",4,AA7="晚",4,AA7="x",0,AA7="X",0,AA7="",0,TRUE,0),IF(ISNUMBER(FIND(" ",AA7)),VALUE(MID(AA7,FIND(" ",AA7)+1,10))-VALUE(LEFT(AA7,FIND(" ",AA7)-1)),0))</f>
        <v>0</v>
      </c>
      <c r="AB31" s="6" cm="1">
        <f t="array" ref="AB31">IF(OR(AB7="M",AB7="M8",AB7="M9",AB7="M10",AB7="M15",AB7="M16",AB7="E",AB7="E13",AB7="E14",AB7="E15",AB7="E16",AB7="A",AB7="S",AB7="O",AB7="早",AB7="午",AB7="晚",AB7="x",AB7="X",AB7=""),_xlfn.IFS(AB7="M",9,AB7="M8",5,AB7="M9",9,AB7="M10",8,AB7="M15",7,AB7="M16",8,AB7="E",5,AB7="E13",9,AB7="E14",8,AB7="E15",7,AB7="E16",6,AB7="A",10,AB7="S",9,AB7="O",0,AB7="早",4.5,AB7="午",4,AB7="晚",4,AB7="x",0,AB7="X",0,AB7="",0,TRUE,0),IF(ISNUMBER(FIND(" ",AB7)),VALUE(MID(AB7,FIND(" ",AB7)+1,10))-VALUE(LEFT(AB7,FIND(" ",AB7)-1)),0))</f>
        <v>0</v>
      </c>
      <c r="AC31" s="6" cm="1">
        <f t="array" ref="AC31">IF(OR(AC7="M",AC7="M8",AC7="M9",AC7="M10",AC7="M15",AC7="M16",AC7="E",AC7="E13",AC7="E14",AC7="E15",AC7="E16",AC7="A",AC7="S",AC7="O",AC7="早",AC7="午",AC7="晚",AC7="x",AC7="X",AC7=""),_xlfn.IFS(AC7="M",9,AC7="M8",5,AC7="M9",9,AC7="M10",8,AC7="M15",7,AC7="M16",8,AC7="E",5,AC7="E13",9,AC7="E14",8,AC7="E15",7,AC7="E16",6,AC7="A",10,AC7="S",9,AC7="O",0,AC7="早",4.5,AC7="午",4,AC7="晚",4,AC7="x",0,AC7="X",0,AC7="",0,TRUE,0),IF(ISNUMBER(FIND(" ",AC7)),VALUE(MID(AC7,FIND(" ",AC7)+1,10))-VALUE(LEFT(AC7,FIND(" ",AC7)-1)),0))</f>
        <v>5</v>
      </c>
      <c r="AD31" s="6" cm="1">
        <f t="array" ref="AD31">IF(OR(AD7="M",AD7="M8",AD7="M9",AD7="M10",AD7="M15",AD7="M16",AD7="E",AD7="E13",AD7="E14",AD7="E15",AD7="E16",AD7="A",AD7="S",AD7="O",AD7="早",AD7="午",AD7="晚",AD7="x",AD7="X",AD7=""),_xlfn.IFS(AD7="M",9,AD7="M8",5,AD7="M9",9,AD7="M10",8,AD7="M15",7,AD7="M16",8,AD7="E",5,AD7="E13",9,AD7="E14",8,AD7="E15",7,AD7="E16",6,AD7="A",10,AD7="S",9,AD7="O",0,AD7="早",4.5,AD7="午",4,AD7="晚",4,AD7="x",0,AD7="X",0,AD7="",0,TRUE,0),IF(ISNUMBER(FIND(" ",AD7)),VALUE(MID(AD7,FIND(" ",AD7)+1,10))-VALUE(LEFT(AD7,FIND(" ",AD7)-1)),0))</f>
        <v>0</v>
      </c>
      <c r="AE31" s="6" cm="1">
        <f t="array" ref="AE31">IF(OR(AE7="M",AE7="M8",AE7="M9",AE7="M10",AE7="M15",AE7="M16",AE7="E",AE7="E13",AE7="E14",AE7="E15",AE7="E16",AE7="A",AE7="S",AE7="O",AE7="早",AE7="午",AE7="晚",AE7="x",AE7="X",AE7=""),_xlfn.IFS(AE7="M",9,AE7="M8",5,AE7="M9",9,AE7="M10",8,AE7="M15",7,AE7="M16",8,AE7="E",5,AE7="E13",9,AE7="E14",8,AE7="E15",7,AE7="E16",6,AE7="A",10,AE7="S",9,AE7="O",0,AE7="早",4.5,AE7="午",4,AE7="晚",4,AE7="x",0,AE7="X",0,AE7="",0,TRUE,0),IF(ISNUMBER(FIND(" ",AE7)),VALUE(MID(AE7,FIND(" ",AE7)+1,10))-VALUE(LEFT(AE7,FIND(" ",AE7)-1)),0))</f>
        <v>0</v>
      </c>
      <c r="AF31" s="6" cm="1">
        <f t="array" ref="AF31">IF(OR(AF7="M",AF7="M8",AF7="M9",AF7="M10",AF7="M15",AF7="M16",AF7="E",AF7="E13",AF7="E14",AF7="E15",AF7="E16",AF7="A",AF7="S",AF7="O",AF7="早",AF7="午",AF7="晚",AF7="x",AF7="X",AF7=""),_xlfn.IFS(AF7="M",9,AF7="M8",5,AF7="M9",9,AF7="M10",8,AF7="M15",7,AF7="M16",8,AF7="E",5,AF7="E13",9,AF7="E14",8,AF7="E15",7,AF7="E16",6,AF7="A",10,AF7="S",9,AF7="O",0,AF7="早",4.5,AF7="午",4,AF7="晚",4,AF7="x",0,AF7="X",0,AF7="",0,TRUE,0),IF(ISNUMBER(FIND(" ",AF7)),VALUE(MID(AF7,FIND(" ",AF7)+1,10))-VALUE(LEFT(AF7,FIND(" ",AF7)-1)),0))</f>
        <v>5</v>
      </c>
      <c r="AG31" s="6">
        <f t="shared" si="3"/>
        <v>25</v>
      </c>
    </row>
    <row r="32" spans="1:33">
      <c r="A32" s="9" t="s">
        <v>53</v>
      </c>
      <c r="B32" s="6" cm="1">
        <f t="array" ref="B32">IF(OR(B8="M",B8="M8",B8="M9",B8="M10",B8="M15",B8="M16",B8="E",B8="E13",B8="E14",B8="E15",B8="E16",B8="A",B8="S",B8="O",B8="早",B8="午",B8="晚",B8="x",B8="X",B8=""),_xlfn.IFS(B8="M",9,B8="M8",5,B8="M9",9,B8="M10",8,B8="M15",7,B8="M16",8,B8="E",5,B8="E13",9,B8="E14",8,B8="E15",7,B8="E16",6,B8="A",10,B8="S",9,B8="O",0,B8="早",4.5,B8="午",4,B8="晚",4,B8="x",0,B8="X",0,B8="",0,TRUE,0),IF(ISNUMBER(FIND(" ",B8)),VALUE(MID(B8,FIND(" ",B8)+1,10))-VALUE(LEFT(B8,FIND(" ",B8)-1)),0))</f>
        <v>0</v>
      </c>
      <c r="C32" s="6" cm="1">
        <f t="array" ref="C32">IF(OR(C8="M",C8="M8",C8="M9",C8="M10",C8="M15",C8="M16",C8="E",C8="E13",C8="E14",C8="E15",C8="E16",C8="A",C8="S",C8="O",C8="早",C8="午",C8="晚",C8="x",C8="X",C8=""),_xlfn.IFS(C8="M",9,C8="M8",5,C8="M9",9,C8="M10",8,C8="M15",7,C8="M16",8,C8="E",5,C8="E13",9,C8="E14",8,C8="E15",7,C8="E16",6,C8="A",10,C8="S",9,C8="O",0,C8="早",4.5,C8="午",4,C8="晚",4,C8="x",0,C8="X",0,C8="",0,TRUE,0),IF(ISNUMBER(FIND(" ",C8)),VALUE(MID(C8,FIND(" ",C8)+1,10))-VALUE(LEFT(C8,FIND(" ",C8)-1)),0))</f>
        <v>0</v>
      </c>
      <c r="D32" s="6" cm="1">
        <f t="array" ref="D32">IF(OR(D8="M",D8="M8",D8="M9",D8="M10",D8="M15",D8="M16",D8="E",D8="E13",D8="E14",D8="E15",D8="E16",D8="A",D8="S",D8="O",D8="早",D8="午",D8="晚",D8="x",D8="X",D8=""),_xlfn.IFS(D8="M",9,D8="M8",5,D8="M9",9,D8="M10",8,D8="M15",7,D8="M16",8,D8="E",5,D8="E13",9,D8="E14",8,D8="E15",7,D8="E16",6,D8="A",10,D8="S",9,D8="O",0,D8="早",4.5,D8="午",4,D8="晚",4,D8="x",0,D8="X",0,D8="",0,TRUE,0),IF(ISNUMBER(FIND(" ",D8)),VALUE(MID(D8,FIND(" ",D8)+1,10))-VALUE(LEFT(D8,FIND(" ",D8)-1)),0))</f>
        <v>0</v>
      </c>
      <c r="E32" s="6" cm="1">
        <f t="array" ref="E32">IF(OR(E8="M",E8="M8",E8="M9",E8="M10",E8="M15",E8="M16",E8="E",E8="E13",E8="E14",E8="E15",E8="E16",E8="A",E8="S",E8="O",E8="早",E8="午",E8="晚",E8="x",E8="X",E8=""),_xlfn.IFS(E8="M",9,E8="M8",5,E8="M9",9,E8="M10",8,E8="M15",7,E8="M16",8,E8="E",5,E8="E13",9,E8="E14",8,E8="E15",7,E8="E16",6,E8="A",10,E8="S",9,E8="O",0,E8="早",4.5,E8="午",4,E8="晚",4,E8="x",0,E8="X",0,E8="",0,TRUE,0),IF(ISNUMBER(FIND(" ",E8)),VALUE(MID(E8,FIND(" ",E8)+1,10))-VALUE(LEFT(E8,FIND(" ",E8)-1)),0))</f>
        <v>0</v>
      </c>
      <c r="F32" s="6" cm="1">
        <f t="array" ref="F32">IF(OR(F8="M",F8="M8",F8="M9",F8="M10",F8="M15",F8="M16",F8="E",F8="E13",F8="E14",F8="E15",F8="E16",F8="A",F8="S",F8="O",F8="早",F8="午",F8="晚",F8="x",F8="X",F8=""),_xlfn.IFS(F8="M",9,F8="M8",5,F8="M9",9,F8="M10",8,F8="M15",7,F8="M16",8,F8="E",5,F8="E13",9,F8="E14",8,F8="E15",7,F8="E16",6,F8="A",10,F8="S",9,F8="O",0,F8="早",4.5,F8="午",4,F8="晚",4,F8="x",0,F8="X",0,F8="",0,TRUE,0),IF(ISNUMBER(FIND(" ",F8)),VALUE(MID(F8,FIND(" ",F8)+1,10))-VALUE(LEFT(F8,FIND(" ",F8)-1)),0))</f>
        <v>0</v>
      </c>
      <c r="G32" s="6" cm="1">
        <f t="array" ref="G32">IF(OR(G8="M",G8="M8",G8="M9",G8="M10",G8="M15",G8="M16",G8="E",G8="E13",G8="E14",G8="E15",G8="E16",G8="A",G8="S",G8="O",G8="早",G8="午",G8="晚",G8="x",G8="X",G8=""),_xlfn.IFS(G8="M",9,G8="M8",5,G8="M9",9,G8="M10",8,G8="M15",7,G8="M16",8,G8="E",5,G8="E13",9,G8="E14",8,G8="E15",7,G8="E16",6,G8="A",10,G8="S",9,G8="O",0,G8="早",4.5,G8="午",4,G8="晚",4,G8="x",0,G8="X",0,G8="",0,TRUE,0),IF(ISNUMBER(FIND(" ",G8)),VALUE(MID(G8,FIND(" ",G8)+1,10))-VALUE(LEFT(G8,FIND(" ",G8)-1)),0))</f>
        <v>0</v>
      </c>
      <c r="H32" s="6" cm="1">
        <f t="array" ref="H32">IF(OR(H8="M",H8="M8",H8="M9",H8="M10",H8="M15",H8="M16",H8="E",H8="E13",H8="E14",H8="E15",H8="E16",H8="A",H8="S",H8="O",H8="早",H8="午",H8="晚",H8="x",H8="X",H8=""),_xlfn.IFS(H8="M",9,H8="M8",5,H8="M9",9,H8="M10",8,H8="M15",7,H8="M16",8,H8="E",5,H8="E13",9,H8="E14",8,H8="E15",7,H8="E16",6,H8="A",10,H8="S",9,H8="O",0,H8="早",4.5,H8="午",4,H8="晚",4,H8="x",0,H8="X",0,H8="",0,TRUE,0),IF(ISNUMBER(FIND(" ",H8)),VALUE(MID(H8,FIND(" ",H8)+1,10))-VALUE(LEFT(H8,FIND(" ",H8)-1)),0))</f>
        <v>4.5</v>
      </c>
      <c r="I32" s="6" cm="1">
        <f t="array" ref="I32">IF(OR(I8="M",I8="M8",I8="M9",I8="M10",I8="M15",I8="M16",I8="E",I8="E13",I8="E14",I8="E15",I8="E16",I8="A",I8="S",I8="O",I8="早",I8="午",I8="晚",I8="x",I8="X",I8=""),_xlfn.IFS(I8="M",9,I8="M8",5,I8="M9",9,I8="M10",8,I8="M15",7,I8="M16",8,I8="E",5,I8="E13",9,I8="E14",8,I8="E15",7,I8="E16",6,I8="A",10,I8="S",9,I8="O",0,I8="早",4.5,I8="午",4,I8="晚",4,I8="x",0,I8="X",0,I8="",0,TRUE,0),IF(ISNUMBER(FIND(" ",I8)),VALUE(MID(I8,FIND(" ",I8)+1,10))-VALUE(LEFT(I8,FIND(" ",I8)-1)),0))</f>
        <v>4.5</v>
      </c>
      <c r="J32" s="6" cm="1">
        <f t="array" ref="J32">IF(OR(J8="M",J8="M8",J8="M9",J8="M10",J8="M15",J8="M16",J8="E",J8="E13",J8="E14",J8="E15",J8="E16",J8="A",J8="S",J8="O",J8="早",J8="午",J8="晚",J8="x",J8="X",J8=""),_xlfn.IFS(J8="M",9,J8="M8",5,J8="M9",9,J8="M10",8,J8="M15",7,J8="M16",8,J8="E",5,J8="E13",9,J8="E14",8,J8="E15",7,J8="E16",6,J8="A",10,J8="S",9,J8="O",0,J8="早",4.5,J8="午",4,J8="晚",4,J8="x",0,J8="X",0,J8="",0,TRUE,0),IF(ISNUMBER(FIND(" ",J8)),VALUE(MID(J8,FIND(" ",J8)+1,10))-VALUE(LEFT(J8,FIND(" ",J8)-1)),0))</f>
        <v>4.5</v>
      </c>
      <c r="K32" s="6" cm="1">
        <f t="array" ref="K32">IF(OR(K8="M",K8="M8",K8="M9",K8="M10",K8="M15",K8="M16",K8="E",K8="E13",K8="E14",K8="E15",K8="E16",K8="A",K8="S",K8="O",K8="早",K8="午",K8="晚",K8="x",K8="X",K8=""),_xlfn.IFS(K8="M",9,K8="M8",5,K8="M9",9,K8="M10",8,K8="M15",7,K8="M16",8,K8="E",5,K8="E13",9,K8="E14",8,K8="E15",7,K8="E16",6,K8="A",10,K8="S",9,K8="O",0,K8="早",4.5,K8="午",4,K8="晚",4,K8="x",0,K8="X",0,K8="",0,TRUE,0),IF(ISNUMBER(FIND(" ",K8)),VALUE(MID(K8,FIND(" ",K8)+1,10))-VALUE(LEFT(K8,FIND(" ",K8)-1)),0))</f>
        <v>0</v>
      </c>
      <c r="L32" s="6" cm="1">
        <f t="array" ref="L32">IF(OR(L8="M",L8="M8",L8="M9",L8="M10",L8="M15",L8="M16",L8="E",L8="E13",L8="E14",L8="E15",L8="E16",L8="A",L8="S",L8="O",L8="早",L8="午",L8="晚",L8="x",L8="X",L8=""),_xlfn.IFS(L8="M",9,L8="M8",5,L8="M9",9,L8="M10",8,L8="M15",7,L8="M16",8,L8="E",5,L8="E13",9,L8="E14",8,L8="E15",7,L8="E16",6,L8="A",10,L8="S",9,L8="O",0,L8="早",4.5,L8="午",4,L8="晚",4,L8="x",0,L8="X",0,L8="",0,TRUE,0),IF(ISNUMBER(FIND(" ",L8)),VALUE(MID(L8,FIND(" ",L8)+1,10))-VALUE(LEFT(L8,FIND(" ",L8)-1)),0))</f>
        <v>4.5</v>
      </c>
      <c r="M32" s="6" cm="1">
        <f t="array" ref="M32">IF(OR(M8="M",M8="M8",M8="M9",M8="M10",M8="M15",M8="M16",M8="E",M8="E13",M8="E14",M8="E15",M8="E16",M8="A",M8="S",M8="O",M8="早",M8="午",M8="晚",M8="x",M8="X",M8=""),_xlfn.IFS(M8="M",9,M8="M8",5,M8="M9",9,M8="M10",8,M8="M15",7,M8="M16",8,M8="E",5,M8="E13",9,M8="E14",8,M8="E15",7,M8="E16",6,M8="A",10,M8="S",9,M8="O",0,M8="早",4.5,M8="午",4,M8="晚",4,M8="x",0,M8="X",0,M8="",0,TRUE,0),IF(ISNUMBER(FIND(" ",M8)),VALUE(MID(M8,FIND(" ",M8)+1,10))-VALUE(LEFT(M8,FIND(" ",M8)-1)),0))</f>
        <v>0</v>
      </c>
      <c r="N32" s="6" cm="1">
        <f t="array" ref="N32">IF(OR(N8="M",N8="M8",N8="M9",N8="M10",N8="M15",N8="M16",N8="E",N8="E13",N8="E14",N8="E15",N8="E16",N8="A",N8="S",N8="O",N8="早",N8="午",N8="晚",N8="x",N8="X",N8=""),_xlfn.IFS(N8="M",9,N8="M8",5,N8="M9",9,N8="M10",8,N8="M15",7,N8="M16",8,N8="E",5,N8="E13",9,N8="E14",8,N8="E15",7,N8="E16",6,N8="A",10,N8="S",9,N8="O",0,N8="早",4.5,N8="午",4,N8="晚",4,N8="x",0,N8="X",0,N8="",0,TRUE,0),IF(ISNUMBER(FIND(" ",N8)),VALUE(MID(N8,FIND(" ",N8)+1,10))-VALUE(LEFT(N8,FIND(" ",N8)-1)),0))</f>
        <v>0</v>
      </c>
      <c r="O32" s="6" cm="1">
        <f t="array" ref="O32">IF(OR(O8="M",O8="M8",O8="M9",O8="M10",O8="M15",O8="M16",O8="E",O8="E13",O8="E14",O8="E15",O8="E16",O8="A",O8="S",O8="O",O8="早",O8="午",O8="晚",O8="x",O8="X",O8=""),_xlfn.IFS(O8="M",9,O8="M8",5,O8="M9",9,O8="M10",8,O8="M15",7,O8="M16",8,O8="E",5,O8="E13",9,O8="E14",8,O8="E15",7,O8="E16",6,O8="A",10,O8="S",9,O8="O",0,O8="早",4.5,O8="午",4,O8="晚",4,O8="x",0,O8="X",0,O8="",0,TRUE,0),IF(ISNUMBER(FIND(" ",O8)),VALUE(MID(O8,FIND(" ",O8)+1,10))-VALUE(LEFT(O8,FIND(" ",O8)-1)),0))</f>
        <v>4.5</v>
      </c>
      <c r="P32" s="6" cm="1">
        <f t="array" ref="P32">IF(OR(P8="M",P8="M8",P8="M9",P8="M10",P8="M15",P8="M16",P8="E",P8="E13",P8="E14",P8="E15",P8="E16",P8="A",P8="S",P8="O",P8="早",P8="午",P8="晚",P8="x",P8="X",P8=""),_xlfn.IFS(P8="M",9,P8="M8",5,P8="M9",9,P8="M10",8,P8="M15",7,P8="M16",8,P8="E",5,P8="E13",9,P8="E14",8,P8="E15",7,P8="E16",6,P8="A",10,P8="S",9,P8="O",0,P8="早",4.5,P8="午",4,P8="晚",4,P8="x",0,P8="X",0,P8="",0,TRUE,0),IF(ISNUMBER(FIND(" ",P8)),VALUE(MID(P8,FIND(" ",P8)+1,10))-VALUE(LEFT(P8,FIND(" ",P8)-1)),0))</f>
        <v>8.5</v>
      </c>
      <c r="Q32" s="6" cm="1">
        <f t="array" ref="Q32">IF(OR(Q8="M",Q8="M8",Q8="M9",Q8="M10",Q8="M15",Q8="M16",Q8="E",Q8="E13",Q8="E14",Q8="E15",Q8="E16",Q8="A",Q8="S",Q8="O",Q8="早",Q8="午",Q8="晚",Q8="x",Q8="X",Q8=""),_xlfn.IFS(Q8="M",9,Q8="M8",5,Q8="M9",9,Q8="M10",8,Q8="M15",7,Q8="M16",8,Q8="E",5,Q8="E13",9,Q8="E14",8,Q8="E15",7,Q8="E16",6,Q8="A",10,Q8="S",9,Q8="O",0,Q8="早",4.5,Q8="午",4,Q8="晚",4,Q8="x",0,Q8="X",0,Q8="",0,TRUE,0),IF(ISNUMBER(FIND(" ",Q8)),VALUE(MID(Q8,FIND(" ",Q8)+1,10))-VALUE(LEFT(Q8,FIND(" ",Q8)-1)),0))</f>
        <v>8.5</v>
      </c>
      <c r="R32" s="6" cm="1">
        <f t="array" ref="R32">IF(OR(R8="M",R8="M8",R8="M9",R8="M10",R8="M15",R8="M16",R8="E",R8="E13",R8="E14",R8="E15",R8="E16",R8="A",R8="S",R8="O",R8="早",R8="午",R8="晚",R8="x",R8="X",R8=""),_xlfn.IFS(R8="M",9,R8="M8",5,R8="M9",9,R8="M10",8,R8="M15",7,R8="M16",8,R8="E",5,R8="E13",9,R8="E14",8,R8="E15",7,R8="E16",6,R8="A",10,R8="S",9,R8="O",0,R8="早",4.5,R8="午",4,R8="晚",4,R8="x",0,R8="X",0,R8="",0,TRUE,0),IF(ISNUMBER(FIND(" ",R8)),VALUE(MID(R8,FIND(" ",R8)+1,10))-VALUE(LEFT(R8,FIND(" ",R8)-1)),0))</f>
        <v>8.5</v>
      </c>
      <c r="S32" s="6" cm="1">
        <f t="array" ref="S32">IF(OR(S8="M",S8="M8",S8="M9",S8="M10",S8="M15",S8="M16",S8="E",S8="E13",S8="E14",S8="E15",S8="E16",S8="A",S8="S",S8="O",S8="早",S8="午",S8="晚",S8="x",S8="X",S8=""),_xlfn.IFS(S8="M",9,S8="M8",5,S8="M9",9,S8="M10",8,S8="M15",7,S8="M16",8,S8="E",5,S8="E13",9,S8="E14",8,S8="E15",7,S8="E16",6,S8="A",10,S8="S",9,S8="O",0,S8="早",4.5,S8="午",4,S8="晚",4,S8="x",0,S8="X",0,S8="",0,TRUE,0),IF(ISNUMBER(FIND(" ",S8)),VALUE(MID(S8,FIND(" ",S8)+1,10))-VALUE(LEFT(S8,FIND(" ",S8)-1)),0))</f>
        <v>0</v>
      </c>
      <c r="T32" s="6" cm="1">
        <f t="array" ref="T32">IF(OR(T8="M",T8="M8",T8="M9",T8="M10",T8="M15",T8="M16",T8="E",T8="E13",T8="E14",T8="E15",T8="E16",T8="A",T8="S",T8="O",T8="早",T8="午",T8="晚",T8="x",T8="X",T8=""),_xlfn.IFS(T8="M",9,T8="M8",5,T8="M9",9,T8="M10",8,T8="M15",7,T8="M16",8,T8="E",5,T8="E13",9,T8="E14",8,T8="E15",7,T8="E16",6,T8="A",10,T8="S",9,T8="O",0,T8="早",4.5,T8="午",4,T8="晚",4,T8="x",0,T8="X",0,T8="",0,TRUE,0),IF(ISNUMBER(FIND(" ",T8)),VALUE(MID(T8,FIND(" ",T8)+1,10))-VALUE(LEFT(T8,FIND(" ",T8)-1)),0))</f>
        <v>0</v>
      </c>
      <c r="U32" s="6" cm="1">
        <f t="array" ref="U32">IF(OR(U8="M",U8="M8",U8="M9",U8="M10",U8="M15",U8="M16",U8="E",U8="E13",U8="E14",U8="E15",U8="E16",U8="A",U8="S",U8="O",U8="早",U8="午",U8="晚",U8="x",U8="X",U8=""),_xlfn.IFS(U8="M",9,U8="M8",5,U8="M9",9,U8="M10",8,U8="M15",7,U8="M16",8,U8="E",5,U8="E13",9,U8="E14",8,U8="E15",7,U8="E16",6,U8="A",10,U8="S",9,U8="O",0,U8="早",4.5,U8="午",4,U8="晚",4,U8="x",0,U8="X",0,U8="",0,TRUE,0),IF(ISNUMBER(FIND(" ",U8)),VALUE(MID(U8,FIND(" ",U8)+1,10))-VALUE(LEFT(U8,FIND(" ",U8)-1)),0))</f>
        <v>0</v>
      </c>
      <c r="V32" s="6" cm="1">
        <f t="array" ref="V32">IF(OR(V8="M",V8="M8",V8="M9",V8="M10",V8="M15",V8="M16",V8="E",V8="E13",V8="E14",V8="E15",V8="E16",V8="A",V8="S",V8="O",V8="早",V8="午",V8="晚",V8="x",V8="X",V8=""),_xlfn.IFS(V8="M",9,V8="M8",5,V8="M9",9,V8="M10",8,V8="M15",7,V8="M16",8,V8="E",5,V8="E13",9,V8="E14",8,V8="E15",7,V8="E16",6,V8="A",10,V8="S",9,V8="O",0,V8="早",4.5,V8="午",4,V8="晚",4,V8="x",0,V8="X",0,V8="",0,TRUE,0),IF(ISNUMBER(FIND(" ",V8)),VALUE(MID(V8,FIND(" ",V8)+1,10))-VALUE(LEFT(V8,FIND(" ",V8)-1)),0))</f>
        <v>8.5</v>
      </c>
      <c r="W32" s="6" cm="1">
        <f t="array" ref="W32">IF(OR(W8="M",W8="M8",W8="M9",W8="M10",W8="M15",W8="M16",W8="E",W8="E13",W8="E14",W8="E15",W8="E16",W8="A",W8="S",W8="O",W8="早",W8="午",W8="晚",W8="x",W8="X",W8=""),_xlfn.IFS(W8="M",9,W8="M8",5,W8="M9",9,W8="M10",8,W8="M15",7,W8="M16",8,W8="E",5,W8="E13",9,W8="E14",8,W8="E15",7,W8="E16",6,W8="A",10,W8="S",9,W8="O",0,W8="早",4.5,W8="午",4,W8="晚",4,W8="x",0,W8="X",0,W8="",0,TRUE,0),IF(ISNUMBER(FIND(" ",W8)),VALUE(MID(W8,FIND(" ",W8)+1,10))-VALUE(LEFT(W8,FIND(" ",W8)-1)),0))</f>
        <v>8.5</v>
      </c>
      <c r="X32" s="6" cm="1">
        <f t="array" ref="X32">IF(OR(X8="M",X8="M8",X8="M9",X8="M10",X8="M15",X8="M16",X8="E",X8="E13",X8="E14",X8="E15",X8="E16",X8="A",X8="S",X8="O",X8="早",X8="午",X8="晚",X8="x",X8="X",X8=""),_xlfn.IFS(X8="M",9,X8="M8",5,X8="M9",9,X8="M10",8,X8="M15",7,X8="M16",8,X8="E",5,X8="E13",9,X8="E14",8,X8="E15",7,X8="E16",6,X8="A",10,X8="S",9,X8="O",0,X8="早",4.5,X8="午",4,X8="晚",4,X8="x",0,X8="X",0,X8="",0,TRUE,0),IF(ISNUMBER(FIND(" ",X8)),VALUE(MID(X8,FIND(" ",X8)+1,10))-VALUE(LEFT(X8,FIND(" ",X8)-1)),0))</f>
        <v>4.5</v>
      </c>
      <c r="Y32" s="6" cm="1">
        <f t="array" ref="Y32">IF(OR(Y8="M",Y8="M8",Y8="M9",Y8="M10",Y8="M15",Y8="M16",Y8="E",Y8="E13",Y8="E14",Y8="E15",Y8="E16",Y8="A",Y8="S",Y8="O",Y8="早",Y8="午",Y8="晚",Y8="x",Y8="X",Y8=""),_xlfn.IFS(Y8="M",9,Y8="M8",5,Y8="M9",9,Y8="M10",8,Y8="M15",7,Y8="M16",8,Y8="E",5,Y8="E13",9,Y8="E14",8,Y8="E15",7,Y8="E16",6,Y8="A",10,Y8="S",9,Y8="O",0,Y8="早",4.5,Y8="午",4,Y8="晚",4,Y8="x",0,Y8="X",0,Y8="",0,TRUE,0),IF(ISNUMBER(FIND(" ",Y8)),VALUE(MID(Y8,FIND(" ",Y8)+1,10))-VALUE(LEFT(Y8,FIND(" ",Y8)-1)),0))</f>
        <v>8.5</v>
      </c>
      <c r="Z32" s="6" cm="1">
        <f t="array" ref="Z32">IF(OR(Z8="M",Z8="M8",Z8="M9",Z8="M10",Z8="M15",Z8="M16",Z8="E",Z8="E13",Z8="E14",Z8="E15",Z8="E16",Z8="A",Z8="S",Z8="O",Z8="早",Z8="午",Z8="晚",Z8="x",Z8="X",Z8=""),_xlfn.IFS(Z8="M",9,Z8="M8",5,Z8="M9",9,Z8="M10",8,Z8="M15",7,Z8="M16",8,Z8="E",5,Z8="E13",9,Z8="E14",8,Z8="E15",7,Z8="E16",6,Z8="A",10,Z8="S",9,Z8="O",0,Z8="早",4.5,Z8="午",4,Z8="晚",4,Z8="x",0,Z8="X",0,Z8="",0,TRUE,0),IF(ISNUMBER(FIND(" ",Z8)),VALUE(MID(Z8,FIND(" ",Z8)+1,10))-VALUE(LEFT(Z8,FIND(" ",Z8)-1)),0))</f>
        <v>0</v>
      </c>
      <c r="AA32" s="6" cm="1">
        <f t="array" ref="AA32">IF(OR(AA8="M",AA8="M8",AA8="M9",AA8="M10",AA8="M15",AA8="M16",AA8="E",AA8="E13",AA8="E14",AA8="E15",AA8="E16",AA8="A",AA8="S",AA8="O",AA8="早",AA8="午",AA8="晚",AA8="x",AA8="X",AA8=""),_xlfn.IFS(AA8="M",9,AA8="M8",5,AA8="M9",9,AA8="M10",8,AA8="M15",7,AA8="M16",8,AA8="E",5,AA8="E13",9,AA8="E14",8,AA8="E15",7,AA8="E16",6,AA8="A",10,AA8="S",9,AA8="O",0,AA8="早",4.5,AA8="午",4,AA8="晚",4,AA8="x",0,AA8="X",0,AA8="",0,TRUE,0),IF(ISNUMBER(FIND(" ",AA8)),VALUE(MID(AA8,FIND(" ",AA8)+1,10))-VALUE(LEFT(AA8,FIND(" ",AA8)-1)),0))</f>
        <v>0</v>
      </c>
      <c r="AB32" s="6" cm="1">
        <f t="array" ref="AB32">IF(OR(AB8="M",AB8="M8",AB8="M9",AB8="M10",AB8="M15",AB8="M16",AB8="E",AB8="E13",AB8="E14",AB8="E15",AB8="E16",AB8="A",AB8="S",AB8="O",AB8="早",AB8="午",AB8="晚",AB8="x",AB8="X",AB8=""),_xlfn.IFS(AB8="M",9,AB8="M8",5,AB8="M9",9,AB8="M10",8,AB8="M15",7,AB8="M16",8,AB8="E",5,AB8="E13",9,AB8="E14",8,AB8="E15",7,AB8="E16",6,AB8="A",10,AB8="S",9,AB8="O",0,AB8="早",4.5,AB8="午",4,AB8="晚",4,AB8="x",0,AB8="X",0,AB8="",0,TRUE,0),IF(ISNUMBER(FIND(" ",AB8)),VALUE(MID(AB8,FIND(" ",AB8)+1,10))-VALUE(LEFT(AB8,FIND(" ",AB8)-1)),0))</f>
        <v>0</v>
      </c>
      <c r="AC32" s="6" cm="1">
        <f t="array" ref="AC32">IF(OR(AC8="M",AC8="M8",AC8="M9",AC8="M10",AC8="M15",AC8="M16",AC8="E",AC8="E13",AC8="E14",AC8="E15",AC8="E16",AC8="A",AC8="S",AC8="O",AC8="早",AC8="午",AC8="晚",AC8="x",AC8="X",AC8=""),_xlfn.IFS(AC8="M",9,AC8="M8",5,AC8="M9",9,AC8="M10",8,AC8="M15",7,AC8="M16",8,AC8="E",5,AC8="E13",9,AC8="E14",8,AC8="E15",7,AC8="E16",6,AC8="A",10,AC8="S",9,AC8="O",0,AC8="早",4.5,AC8="午",4,AC8="晚",4,AC8="x",0,AC8="X",0,AC8="",0,TRUE,0),IF(ISNUMBER(FIND(" ",AC8)),VALUE(MID(AC8,FIND(" ",AC8)+1,10))-VALUE(LEFT(AC8,FIND(" ",AC8)-1)),0))</f>
        <v>8.5</v>
      </c>
      <c r="AD32" s="6" cm="1">
        <f t="array" ref="AD32">IF(OR(AD8="M",AD8="M8",AD8="M9",AD8="M10",AD8="M15",AD8="M16",AD8="E",AD8="E13",AD8="E14",AD8="E15",AD8="E16",AD8="A",AD8="S",AD8="O",AD8="早",AD8="午",AD8="晚",AD8="x",AD8="X",AD8=""),_xlfn.IFS(AD8="M",9,AD8="M8",5,AD8="M9",9,AD8="M10",8,AD8="M15",7,AD8="M16",8,AD8="E",5,AD8="E13",9,AD8="E14",8,AD8="E15",7,AD8="E16",6,AD8="A",10,AD8="S",9,AD8="O",0,AD8="早",4.5,AD8="午",4,AD8="晚",4,AD8="x",0,AD8="X",0,AD8="",0,TRUE,0),IF(ISNUMBER(FIND(" ",AD8)),VALUE(MID(AD8,FIND(" ",AD8)+1,10))-VALUE(LEFT(AD8,FIND(" ",AD8)-1)),0))</f>
        <v>8.5</v>
      </c>
      <c r="AE32" s="6" cm="1">
        <f t="array" ref="AE32">IF(OR(AE8="M",AE8="M8",AE8="M9",AE8="M10",AE8="M15",AE8="M16",AE8="E",AE8="E13",AE8="E14",AE8="E15",AE8="E16",AE8="A",AE8="S",AE8="O",AE8="早",AE8="午",AE8="晚",AE8="x",AE8="X",AE8=""),_xlfn.IFS(AE8="M",9,AE8="M8",5,AE8="M9",9,AE8="M10",8,AE8="M15",7,AE8="M16",8,AE8="E",5,AE8="E13",9,AE8="E14",8,AE8="E15",7,AE8="E16",6,AE8="A",10,AE8="S",9,AE8="O",0,AE8="早",4.5,AE8="午",4,AE8="晚",4,AE8="x",0,AE8="X",0,AE8="",0,TRUE,0),IF(ISNUMBER(FIND(" ",AE8)),VALUE(MID(AE8,FIND(" ",AE8)+1,10))-VALUE(LEFT(AE8,FIND(" ",AE8)-1)),0))</f>
        <v>8.5</v>
      </c>
      <c r="AF32" s="6" cm="1">
        <f t="array" ref="AF32">IF(OR(AF8="M",AF8="M8",AF8="M9",AF8="M10",AF8="M15",AF8="M16",AF8="E",AF8="E13",AF8="E14",AF8="E15",AF8="E16",AF8="A",AF8="S",AF8="O",AF8="早",AF8="午",AF8="晚",AF8="x",AF8="X",AF8=""),_xlfn.IFS(AF8="M",9,AF8="M8",5,AF8="M9",9,AF8="M10",8,AF8="M15",7,AF8="M16",8,AF8="E",5,AF8="E13",9,AF8="E14",8,AF8="E15",7,AF8="E16",6,AF8="A",10,AF8="S",9,AF8="O",0,AF8="早",4.5,AF8="午",4,AF8="晚",4,AF8="x",0,AF8="X",0,AF8="",0,TRUE,0),IF(ISNUMBER(FIND(" ",AF8)),VALUE(MID(AF8,FIND(" ",AF8)+1,10))-VALUE(LEFT(AF8,FIND(" ",AF8)-1)),0))</f>
        <v>4.5</v>
      </c>
      <c r="AG32" s="6">
        <f t="shared" si="3"/>
        <v>108</v>
      </c>
    </row>
    <row r="33" spans="1:33">
      <c r="A33" s="45" t="s">
        <v>54</v>
      </c>
      <c r="B33" s="2" cm="1">
        <f t="array" ref="B33">IF(OR(B9="M",B9="M8",B9="M9",B9="M10",B9="M15",B9="M16",B9="E",B9="E13",B9="E14",B9="E15",B9="E16",B9="A",B9="S",B9="O",B9="早",B9="午",B9="晚",B9="x",B9="X",B9=""),_xlfn.IFS(B9="M",9,B9="M8",5,B9="M9",9,B9="M10",8,B9="M15",7,B9="M16",8,B9="E",5,B9="E13",9,B9="E14",8,B9="E15",7,B9="E16",6,B9="A",10,B9="S",9,B9="O",0,B9="早",4.5,B9="午",4,B9="晚",4,B9="x",0,B9="X",0,B9="",0,TRUE,0),IF(ISNUMBER(FIND(" ",B9)),VALUE(MID(B9,FIND(" ",B9)+1,10))-VALUE(LEFT(B9,FIND(" ",B9)-1)),0))</f>
        <v>8.5</v>
      </c>
      <c r="C33" s="2" cm="1">
        <f t="array" ref="C33">IF(OR(C9="M",C9="M8",C9="M9",C9="M10",C9="M15",C9="M16",C9="E",C9="E13",C9="E14",C9="E15",C9="E16",C9="A",C9="S",C9="O",C9="早",C9="午",C9="晚",C9="x",C9="X",C9=""),_xlfn.IFS(C9="M",9,C9="M8",5,C9="M9",9,C9="M10",8,C9="M15",7,C9="M16",8,C9="E",5,C9="E13",9,C9="E14",8,C9="E15",7,C9="E16",6,C9="A",10,C9="S",9,C9="O",0,C9="早",4.5,C9="午",4,C9="晚",4,C9="x",0,C9="X",0,C9="",0,TRUE,0),IF(ISNUMBER(FIND(" ",C9)),VALUE(MID(C9,FIND(" ",C9)+1,10))-VALUE(LEFT(C9,FIND(" ",C9)-1)),0))</f>
        <v>4.5</v>
      </c>
      <c r="D33" s="2" cm="1">
        <f t="array" ref="D33">IF(OR(D9="M",D9="M8",D9="M9",D9="M10",D9="M15",D9="M16",D9="E",D9="E13",D9="E14",D9="E15",D9="E16",D9="A",D9="S",D9="O",D9="早",D9="午",D9="晚",D9="x",D9="X",D9=""),_xlfn.IFS(D9="M",9,D9="M8",5,D9="M9",9,D9="M10",8,D9="M15",7,D9="M16",8,D9="E",5,D9="E13",9,D9="E14",8,D9="E15",7,D9="E16",6,D9="A",10,D9="S",9,D9="O",0,D9="早",4.5,D9="午",4,D9="晚",4,D9="x",0,D9="X",0,D9="",0,TRUE,0),IF(ISNUMBER(FIND(" ",D9)),VALUE(MID(D9,FIND(" ",D9)+1,10))-VALUE(LEFT(D9,FIND(" ",D9)-1)),0))</f>
        <v>4</v>
      </c>
      <c r="E33" s="2" cm="1">
        <f t="array" ref="E33">IF(OR(E9="M",E9="M8",E9="M9",E9="M10",E9="M15",E9="M16",E9="E",E9="E13",E9="E14",E9="E15",E9="E16",E9="A",E9="S",E9="O",E9="早",E9="午",E9="晚",E9="x",E9="X",E9=""),_xlfn.IFS(E9="M",9,E9="M8",5,E9="M9",9,E9="M10",8,E9="M15",7,E9="M16",8,E9="E",5,E9="E13",9,E9="E14",8,E9="E15",7,E9="E16",6,E9="A",10,E9="S",9,E9="O",0,E9="早",4.5,E9="午",4,E9="晚",4,E9="x",0,E9="X",0,E9="",0,TRUE,0),IF(ISNUMBER(FIND(" ",E9)),VALUE(MID(E9,FIND(" ",E9)+1,10))-VALUE(LEFT(E9,FIND(" ",E9)-1)),0))</f>
        <v>0</v>
      </c>
      <c r="F33" s="2" cm="1">
        <f t="array" ref="F33">IF(OR(F9="M",F9="M8",F9="M9",F9="M10",F9="M15",F9="M16",F9="E",F9="E13",F9="E14",F9="E15",F9="E16",F9="A",F9="S",F9="O",F9="早",F9="午",F9="晚",F9="x",F9="X",F9=""),_xlfn.IFS(F9="M",9,F9="M8",5,F9="M9",9,F9="M10",8,F9="M15",7,F9="M16",8,F9="E",5,F9="E13",9,F9="E14",8,F9="E15",7,F9="E16",6,F9="A",10,F9="S",9,F9="O",0,F9="早",4.5,F9="午",4,F9="晚",4,F9="x",0,F9="X",0,F9="",0,TRUE,0),IF(ISNUMBER(FIND(" ",F9)),VALUE(MID(F9,FIND(" ",F9)+1,10))-VALUE(LEFT(F9,FIND(" ",F9)-1)),0))</f>
        <v>0</v>
      </c>
      <c r="G33" s="2" cm="1">
        <f t="array" ref="G33">IF(OR(G9="M",G9="M8",G9="M9",G9="M10",G9="M15",G9="M16",G9="E",G9="E13",G9="E14",G9="E15",G9="E16",G9="A",G9="S",G9="O",G9="早",G9="午",G9="晚",G9="x",G9="X",G9=""),_xlfn.IFS(G9="M",9,G9="M8",5,G9="M9",9,G9="M10",8,G9="M15",7,G9="M16",8,G9="E",5,G9="E13",9,G9="E14",8,G9="E15",7,G9="E16",6,G9="A",10,G9="S",9,G9="O",0,G9="早",4.5,G9="午",4,G9="晚",4,G9="x",0,G9="X",0,G9="",0,TRUE,0),IF(ISNUMBER(FIND(" ",G9)),VALUE(MID(G9,FIND(" ",G9)+1,10))-VALUE(LEFT(G9,FIND(" ",G9)-1)),0))</f>
        <v>0</v>
      </c>
      <c r="H33" s="2" cm="1">
        <f t="array" ref="H33">IF(OR(H9="M",H9="M8",H9="M9",H9="M10",H9="M15",H9="M16",H9="E",H9="E13",H9="E14",H9="E15",H9="E16",H9="A",H9="S",H9="O",H9="早",H9="午",H9="晚",H9="x",H9="X",H9=""),_xlfn.IFS(H9="M",9,H9="M8",5,H9="M9",9,H9="M10",8,H9="M15",7,H9="M16",8,H9="E",5,H9="E13",9,H9="E14",8,H9="E15",7,H9="E16",6,H9="A",10,H9="S",9,H9="O",0,H9="早",4.5,H9="午",4,H9="晚",4,H9="x",0,H9="X",0,H9="",0,TRUE,0),IF(ISNUMBER(FIND(" ",H9)),VALUE(MID(H9,FIND(" ",H9)+1,10))-VALUE(LEFT(H9,FIND(" ",H9)-1)),0))</f>
        <v>4</v>
      </c>
      <c r="I33" s="2" cm="1">
        <f t="array" ref="I33">IF(OR(I9="M",I9="M8",I9="M9",I9="M10",I9="M15",I9="M16",I9="E",I9="E13",I9="E14",I9="E15",I9="E16",I9="A",I9="S",I9="O",I9="早",I9="午",I9="晚",I9="x",I9="X",I9=""),_xlfn.IFS(I9="M",9,I9="M8",5,I9="M9",9,I9="M10",8,I9="M15",7,I9="M16",8,I9="E",5,I9="E13",9,I9="E14",8,I9="E15",7,I9="E16",6,I9="A",10,I9="S",9,I9="O",0,I9="早",4.5,I9="午",4,I9="晚",4,I9="x",0,I9="X",0,I9="",0,TRUE,0),IF(ISNUMBER(FIND(" ",I9)),VALUE(MID(I9,FIND(" ",I9)+1,10))-VALUE(LEFT(I9,FIND(" ",I9)-1)),0))</f>
        <v>8</v>
      </c>
      <c r="J33" s="2" cm="1">
        <f t="array" ref="J33">IF(OR(J9="M",J9="M8",J9="M9",J9="M10",J9="M15",J9="M16",J9="E",J9="E13",J9="E14",J9="E15",J9="E16",J9="A",J9="S",J9="O",J9="早",J9="午",J9="晚",J9="x",J9="X",J9=""),_xlfn.IFS(J9="M",9,J9="M8",5,J9="M9",9,J9="M10",8,J9="M15",7,J9="M16",8,J9="E",5,J9="E13",9,J9="E14",8,J9="E15",7,J9="E16",6,J9="A",10,J9="S",9,J9="O",0,J9="早",4.5,J9="午",4,J9="晚",4,J9="x",0,J9="X",0,J9="",0,TRUE,0),IF(ISNUMBER(FIND(" ",J9)),VALUE(MID(J9,FIND(" ",J9)+1,10))-VALUE(LEFT(J9,FIND(" ",J9)-1)),0))</f>
        <v>4</v>
      </c>
      <c r="K33" s="2" cm="1">
        <f t="array" ref="K33">IF(OR(K9="M",K9="M8",K9="M9",K9="M10",K9="M15",K9="M16",K9="E",K9="E13",K9="E14",K9="E15",K9="E16",K9="A",K9="S",K9="O",K9="早",K9="午",K9="晚",K9="x",K9="X",K9=""),_xlfn.IFS(K9="M",9,K9="M8",5,K9="M9",9,K9="M10",8,K9="M15",7,K9="M16",8,K9="E",5,K9="E13",9,K9="E14",8,K9="E15",7,K9="E16",6,K9="A",10,K9="S",9,K9="O",0,K9="早",4.5,K9="午",4,K9="晚",4,K9="x",0,K9="X",0,K9="",0,TRUE,0),IF(ISNUMBER(FIND(" ",K9)),VALUE(MID(K9,FIND(" ",K9)+1,10))-VALUE(LEFT(K9,FIND(" ",K9)-1)),0))</f>
        <v>4.5</v>
      </c>
      <c r="L33" s="2" cm="1">
        <f t="array" ref="L33">IF(OR(L9="M",L9="M8",L9="M9",L9="M10",L9="M15",L9="M16",L9="E",L9="E13",L9="E14",L9="E15",L9="E16",L9="A",L9="S",L9="O",L9="早",L9="午",L9="晚",L9="x",L9="X",L9=""),_xlfn.IFS(L9="M",9,L9="M8",5,L9="M9",9,L9="M10",8,L9="M15",7,L9="M16",8,L9="E",5,L9="E13",9,L9="E14",8,L9="E15",7,L9="E16",6,L9="A",10,L9="S",9,L9="O",0,L9="早",4.5,L9="午",4,L9="晚",4,L9="x",0,L9="X",0,L9="",0,TRUE,0),IF(ISNUMBER(FIND(" ",L9)),VALUE(MID(L9,FIND(" ",L9)+1,10))-VALUE(LEFT(L9,FIND(" ",L9)-1)),0))</f>
        <v>0</v>
      </c>
      <c r="M33" s="2" cm="1">
        <f t="array" ref="M33">IF(OR(M9="M",M9="M8",M9="M9",M9="M10",M9="M15",M9="M16",M9="E",M9="E13",M9="E14",M9="E15",M9="E16",M9="A",M9="S",M9="O",M9="早",M9="午",M9="晚",M9="x",M9="X",M9=""),_xlfn.IFS(M9="M",9,M9="M8",5,M9="M9",9,M9="M10",8,M9="M15",7,M9="M16",8,M9="E",5,M9="E13",9,M9="E14",8,M9="E15",7,M9="E16",6,M9="A",10,M9="S",9,M9="O",0,M9="早",4.5,M9="午",4,M9="晚",4,M9="x",0,M9="X",0,M9="",0,TRUE,0),IF(ISNUMBER(FIND(" ",M9)),VALUE(MID(M9,FIND(" ",M9)+1,10))-VALUE(LEFT(M9,FIND(" ",M9)-1)),0))</f>
        <v>0</v>
      </c>
      <c r="N33" s="2" cm="1">
        <f t="array" ref="N33">IF(OR(N9="M",N9="M8",N9="M9",N9="M10",N9="M15",N9="M16",N9="E",N9="E13",N9="E14",N9="E15",N9="E16",N9="A",N9="S",N9="O",N9="早",N9="午",N9="晚",N9="x",N9="X",N9=""),_xlfn.IFS(N9="M",9,N9="M8",5,N9="M9",9,N9="M10",8,N9="M15",7,N9="M16",8,N9="E",5,N9="E13",9,N9="E14",8,N9="E15",7,N9="E16",6,N9="A",10,N9="S",9,N9="O",0,N9="早",4.5,N9="午",4,N9="晚",4,N9="x",0,N9="X",0,N9="",0,TRUE,0),IF(ISNUMBER(FIND(" ",N9)),VALUE(MID(N9,FIND(" ",N9)+1,10))-VALUE(LEFT(N9,FIND(" ",N9)-1)),0))</f>
        <v>4</v>
      </c>
      <c r="O33" s="2" cm="1">
        <f t="array" ref="O33">IF(OR(O9="M",O9="M8",O9="M9",O9="M10",O9="M15",O9="M16",O9="E",O9="E13",O9="E14",O9="E15",O9="E16",O9="A",O9="S",O9="O",O9="早",O9="午",O9="晚",O9="x",O9="X",O9=""),_xlfn.IFS(O9="M",9,O9="M8",5,O9="M9",9,O9="M10",8,O9="M15",7,O9="M16",8,O9="E",5,O9="E13",9,O9="E14",8,O9="E15",7,O9="E16",6,O9="A",10,O9="S",9,O9="O",0,O9="早",4.5,O9="午",4,O9="晚",4,O9="x",0,O9="X",0,O9="",0,TRUE,0),IF(ISNUMBER(FIND(" ",O9)),VALUE(MID(O9,FIND(" ",O9)+1,10))-VALUE(LEFT(O9,FIND(" ",O9)-1)),0))</f>
        <v>4</v>
      </c>
      <c r="P33" s="2" cm="1">
        <f t="array" ref="P33">IF(OR(P9="M",P9="M8",P9="M9",P9="M10",P9="M15",P9="M16",P9="E",P9="E13",P9="E14",P9="E15",P9="E16",P9="A",P9="S",P9="O",P9="早",P9="午",P9="晚",P9="x",P9="X",P9=""),_xlfn.IFS(P9="M",9,P9="M8",5,P9="M9",9,P9="M10",8,P9="M15",7,P9="M16",8,P9="E",5,P9="E13",9,P9="E14",8,P9="E15",7,P9="E16",6,P9="A",10,P9="S",9,P9="O",0,P9="早",4.5,P9="午",4,P9="晚",4,P9="x",0,P9="X",0,P9="",0,TRUE,0),IF(ISNUMBER(FIND(" ",P9)),VALUE(MID(P9,FIND(" ",P9)+1,10))-VALUE(LEFT(P9,FIND(" ",P9)-1)),0))</f>
        <v>0</v>
      </c>
      <c r="Q33" s="2" cm="1">
        <f t="array" ref="Q33">IF(OR(Q9="M",Q9="M8",Q9="M9",Q9="M10",Q9="M15",Q9="M16",Q9="E",Q9="E13",Q9="E14",Q9="E15",Q9="E16",Q9="A",Q9="S",Q9="O",Q9="早",Q9="午",Q9="晚",Q9="x",Q9="X",Q9=""),_xlfn.IFS(Q9="M",9,Q9="M8",5,Q9="M9",9,Q9="M10",8,Q9="M15",7,Q9="M16",8,Q9="E",5,Q9="E13",9,Q9="E14",8,Q9="E15",7,Q9="E16",6,Q9="A",10,Q9="S",9,Q9="O",0,Q9="早",4.5,Q9="午",4,Q9="晚",4,Q9="x",0,Q9="X",0,Q9="",0,TRUE,0),IF(ISNUMBER(FIND(" ",Q9)),VALUE(MID(Q9,FIND(" ",Q9)+1,10))-VALUE(LEFT(Q9,FIND(" ",Q9)-1)),0))</f>
        <v>0</v>
      </c>
      <c r="R33" s="2" cm="1">
        <f t="array" ref="R33">IF(OR(R9="M",R9="M8",R9="M9",R9="M10",R9="M15",R9="M16",R9="E",R9="E13",R9="E14",R9="E15",R9="E16",R9="A",R9="S",R9="O",R9="早",R9="午",R9="晚",R9="x",R9="X",R9=""),_xlfn.IFS(R9="M",9,R9="M8",5,R9="M9",9,R9="M10",8,R9="M15",7,R9="M16",8,R9="E",5,R9="E13",9,R9="E14",8,R9="E15",7,R9="E16",6,R9="A",10,R9="S",9,R9="O",0,R9="早",4.5,R9="午",4,R9="晚",4,R9="x",0,R9="X",0,R9="",0,TRUE,0),IF(ISNUMBER(FIND(" ",R9)),VALUE(MID(R9,FIND(" ",R9)+1,10))-VALUE(LEFT(R9,FIND(" ",R9)-1)),0))</f>
        <v>4</v>
      </c>
      <c r="S33" s="2" cm="1">
        <f t="array" ref="S33">IF(OR(S9="M",S9="M8",S9="M9",S9="M10",S9="M15",S9="M16",S9="E",S9="E13",S9="E14",S9="E15",S9="E16",S9="A",S9="S",S9="O",S9="早",S9="午",S9="晚",S9="x",S9="X",S9=""),_xlfn.IFS(S9="M",9,S9="M8",5,S9="M9",9,S9="M10",8,S9="M15",7,S9="M16",8,S9="E",5,S9="E13",9,S9="E14",8,S9="E15",7,S9="E16",6,S9="A",10,S9="S",9,S9="O",0,S9="早",4.5,S9="午",4,S9="晚",4,S9="x",0,S9="X",0,S9="",0,TRUE,0),IF(ISNUMBER(FIND(" ",S9)),VALUE(MID(S9,FIND(" ",S9)+1,10))-VALUE(LEFT(S9,FIND(" ",S9)-1)),0))</f>
        <v>0</v>
      </c>
      <c r="T33" s="2" cm="1">
        <f t="array" ref="T33">IF(OR(T9="M",T9="M8",T9="M9",T9="M10",T9="M15",T9="M16",T9="E",T9="E13",T9="E14",T9="E15",T9="E16",T9="A",T9="S",T9="O",T9="早",T9="午",T9="晚",T9="x",T9="X",T9=""),_xlfn.IFS(T9="M",9,T9="M8",5,T9="M9",9,T9="M10",8,T9="M15",7,T9="M16",8,T9="E",5,T9="E13",9,T9="E14",8,T9="E15",7,T9="E16",6,T9="A",10,T9="S",9,T9="O",0,T9="早",4.5,T9="午",4,T9="晚",4,T9="x",0,T9="X",0,T9="",0,TRUE,0),IF(ISNUMBER(FIND(" ",T9)),VALUE(MID(T9,FIND(" ",T9)+1,10))-VALUE(LEFT(T9,FIND(" ",T9)-1)),0))</f>
        <v>0</v>
      </c>
      <c r="U33" s="2" cm="1">
        <f t="array" ref="U33">IF(OR(U9="M",U9="M8",U9="M9",U9="M10",U9="M15",U9="M16",U9="E",U9="E13",U9="E14",U9="E15",U9="E16",U9="A",U9="S",U9="O",U9="早",U9="午",U9="晚",U9="x",U9="X",U9=""),_xlfn.IFS(U9="M",9,U9="M8",5,U9="M9",9,U9="M10",8,U9="M15",7,U9="M16",8,U9="E",5,U9="E13",9,U9="E14",8,U9="E15",7,U9="E16",6,U9="A",10,U9="S",9,U9="O",0,U9="早",4.5,U9="午",4,U9="晚",4,U9="x",0,U9="X",0,U9="",0,TRUE,0),IF(ISNUMBER(FIND(" ",U9)),VALUE(MID(U9,FIND(" ",U9)+1,10))-VALUE(LEFT(U9,FIND(" ",U9)-1)),0))</f>
        <v>4</v>
      </c>
      <c r="V33" s="2" cm="1">
        <f t="array" ref="V33">IF(OR(V9="M",V9="M8",V9="M9",V9="M10",V9="M15",V9="M16",V9="E",V9="E13",V9="E14",V9="E15",V9="E16",V9="A",V9="S",V9="O",V9="早",V9="午",V9="晚",V9="x",V9="X",V9=""),_xlfn.IFS(V9="M",9,V9="M8",5,V9="M9",9,V9="M10",8,V9="M15",7,V9="M16",8,V9="E",5,V9="E13",9,V9="E14",8,V9="E15",7,V9="E16",6,V9="A",10,V9="S",9,V9="O",0,V9="早",4.5,V9="午",4,V9="晚",4,V9="x",0,V9="X",0,V9="",0,TRUE,0),IF(ISNUMBER(FIND(" ",V9)),VALUE(MID(V9,FIND(" ",V9)+1,10))-VALUE(LEFT(V9,FIND(" ",V9)-1)),0))</f>
        <v>0</v>
      </c>
      <c r="W33" s="2" cm="1">
        <f t="array" ref="W33">IF(OR(W9="M",W9="M8",W9="M9",W9="M10",W9="M15",W9="M16",W9="E",W9="E13",W9="E14",W9="E15",W9="E16",W9="A",W9="S",W9="O",W9="早",W9="午",W9="晚",W9="x",W9="X",W9=""),_xlfn.IFS(W9="M",9,W9="M8",5,W9="M9",9,W9="M10",8,W9="M15",7,W9="M16",8,W9="E",5,W9="E13",9,W9="E14",8,W9="E15",7,W9="E16",6,W9="A",10,W9="S",9,W9="O",0,W9="早",4.5,W9="午",4,W9="晚",4,W9="x",0,W9="X",0,W9="",0,TRUE,0),IF(ISNUMBER(FIND(" ",W9)),VALUE(MID(W9,FIND(" ",W9)+1,10))-VALUE(LEFT(W9,FIND(" ",W9)-1)),0))</f>
        <v>0</v>
      </c>
      <c r="X33" s="2" cm="1">
        <f t="array" ref="X33">IF(OR(X9="M",X9="M8",X9="M9",X9="M10",X9="M15",X9="M16",X9="E",X9="E13",X9="E14",X9="E15",X9="E16",X9="A",X9="S",X9="O",X9="早",X9="午",X9="晚",X9="x",X9="X",X9=""),_xlfn.IFS(X9="M",9,X9="M8",5,X9="M9",9,X9="M10",8,X9="M15",7,X9="M16",8,X9="E",5,X9="E13",9,X9="E14",8,X9="E15",7,X9="E16",6,X9="A",10,X9="S",9,X9="O",0,X9="早",4.5,X9="午",4,X9="晚",4,X9="x",0,X9="X",0,X9="",0,TRUE,0),IF(ISNUMBER(FIND(" ",X9)),VALUE(MID(X9,FIND(" ",X9)+1,10))-VALUE(LEFT(X9,FIND(" ",X9)-1)),0))</f>
        <v>4</v>
      </c>
      <c r="Y33" s="2" cm="1">
        <f t="array" ref="Y33">IF(OR(Y9="M",Y9="M8",Y9="M9",Y9="M10",Y9="M15",Y9="M16",Y9="E",Y9="E13",Y9="E14",Y9="E15",Y9="E16",Y9="A",Y9="S",Y9="O",Y9="早",Y9="午",Y9="晚",Y9="x",Y9="X",Y9=""),_xlfn.IFS(Y9="M",9,Y9="M8",5,Y9="M9",9,Y9="M10",8,Y9="M15",7,Y9="M16",8,Y9="E",5,Y9="E13",9,Y9="E14",8,Y9="E15",7,Y9="E16",6,Y9="A",10,Y9="S",9,Y9="O",0,Y9="早",4.5,Y9="午",4,Y9="晚",4,Y9="x",0,Y9="X",0,Y9="",0,TRUE,0),IF(ISNUMBER(FIND(" ",Y9)),VALUE(MID(Y9,FIND(" ",Y9)+1,10))-VALUE(LEFT(Y9,FIND(" ",Y9)-1)),0))</f>
        <v>4</v>
      </c>
      <c r="Z33" s="2" cm="1">
        <f t="array" ref="Z33">IF(OR(Z9="M",Z9="M8",Z9="M9",Z9="M10",Z9="M15",Z9="M16",Z9="E",Z9="E13",Z9="E14",Z9="E15",Z9="E16",Z9="A",Z9="S",Z9="O",Z9="早",Z9="午",Z9="晚",Z9="x",Z9="X",Z9=""),_xlfn.IFS(Z9="M",9,Z9="M8",5,Z9="M9",9,Z9="M10",8,Z9="M15",7,Z9="M16",8,Z9="E",5,Z9="E13",9,Z9="E14",8,Z9="E15",7,Z9="E16",6,Z9="A",10,Z9="S",9,Z9="O",0,Z9="早",4.5,Z9="午",4,Z9="晚",4,Z9="x",0,Z9="X",0,Z9="",0,TRUE,0),IF(ISNUMBER(FIND(" ",Z9)),VALUE(MID(Z9,FIND(" ",Z9)+1,10))-VALUE(LEFT(Z9,FIND(" ",Z9)-1)),0))</f>
        <v>4.5</v>
      </c>
      <c r="AA33" s="2" cm="1">
        <f t="array" ref="AA33">IF(OR(AA9="M",AA9="M8",AA9="M9",AA9="M10",AA9="M15",AA9="M16",AA9="E",AA9="E13",AA9="E14",AA9="E15",AA9="E16",AA9="A",AA9="S",AA9="O",AA9="早",AA9="午",AA9="晚",AA9="x",AA9="X",AA9=""),_xlfn.IFS(AA9="M",9,AA9="M8",5,AA9="M9",9,AA9="M10",8,AA9="M15",7,AA9="M16",8,AA9="E",5,AA9="E13",9,AA9="E14",8,AA9="E15",7,AA9="E16",6,AA9="A",10,AA9="S",9,AA9="O",0,AA9="早",4.5,AA9="午",4,AA9="晚",4,AA9="x",0,AA9="X",0,AA9="",0,TRUE,0),IF(ISNUMBER(FIND(" ",AA9)),VALUE(MID(AA9,FIND(" ",AA9)+1,10))-VALUE(LEFT(AA9,FIND(" ",AA9)-1)),0))</f>
        <v>0</v>
      </c>
      <c r="AB33" s="2" cm="1">
        <f t="array" ref="AB33">IF(OR(AB9="M",AB9="M8",AB9="M9",AB9="M10",AB9="M15",AB9="M16",AB9="E",AB9="E13",AB9="E14",AB9="E15",AB9="E16",AB9="A",AB9="S",AB9="O",AB9="早",AB9="午",AB9="晚",AB9="x",AB9="X",AB9=""),_xlfn.IFS(AB9="M",9,AB9="M8",5,AB9="M9",9,AB9="M10",8,AB9="M15",7,AB9="M16",8,AB9="E",5,AB9="E13",9,AB9="E14",8,AB9="E15",7,AB9="E16",6,AB9="A",10,AB9="S",9,AB9="O",0,AB9="早",4.5,AB9="午",4,AB9="晚",4,AB9="x",0,AB9="X",0,AB9="",0,TRUE,0),IF(ISNUMBER(FIND(" ",AB9)),VALUE(MID(AB9,FIND(" ",AB9)+1,10))-VALUE(LEFT(AB9,FIND(" ",AB9)-1)),0))</f>
        <v>8.5</v>
      </c>
      <c r="AC33" s="2" cm="1">
        <f t="array" ref="AC33">IF(OR(AC9="M",AC9="M8",AC9="M9",AC9="M10",AC9="M15",AC9="M16",AC9="E",AC9="E13",AC9="E14",AC9="E15",AC9="E16",AC9="A",AC9="S",AC9="O",AC9="早",AC9="午",AC9="晚",AC9="x",AC9="X",AC9=""),_xlfn.IFS(AC9="M",9,AC9="M8",5,AC9="M9",9,AC9="M10",8,AC9="M15",7,AC9="M16",8,AC9="E",5,AC9="E13",9,AC9="E14",8,AC9="E15",7,AC9="E16",6,AC9="A",10,AC9="S",9,AC9="O",0,AC9="早",4.5,AC9="午",4,AC9="晚",4,AC9="x",0,AC9="X",0,AC9="",0,TRUE,0),IF(ISNUMBER(FIND(" ",AC9)),VALUE(MID(AC9,FIND(" ",AC9)+1,10))-VALUE(LEFT(AC9,FIND(" ",AC9)-1)),0))</f>
        <v>4</v>
      </c>
      <c r="AD33" s="2" cm="1">
        <f t="array" ref="AD33">IF(OR(AD9="M",AD9="M8",AD9="M9",AD9="M10",AD9="M15",AD9="M16",AD9="E",AD9="E13",AD9="E14",AD9="E15",AD9="E16",AD9="A",AD9="S",AD9="O",AD9="早",AD9="午",AD9="晚",AD9="x",AD9="X",AD9=""),_xlfn.IFS(AD9="M",9,AD9="M8",5,AD9="M9",9,AD9="M10",8,AD9="M15",7,AD9="M16",8,AD9="E",5,AD9="E13",9,AD9="E14",8,AD9="E15",7,AD9="E16",6,AD9="A",10,AD9="S",9,AD9="O",0,AD9="早",4.5,AD9="午",4,AD9="晚",4,AD9="x",0,AD9="X",0,AD9="",0,TRUE,0),IF(ISNUMBER(FIND(" ",AD9)),VALUE(MID(AD9,FIND(" ",AD9)+1,10))-VALUE(LEFT(AD9,FIND(" ",AD9)-1)),0))</f>
        <v>0</v>
      </c>
      <c r="AE33" s="2" cm="1">
        <f t="array" ref="AE33">IF(OR(AE9="M",AE9="M8",AE9="M9",AE9="M10",AE9="M15",AE9="M16",AE9="E",AE9="E13",AE9="E14",AE9="E15",AE9="E16",AE9="A",AE9="S",AE9="O",AE9="早",AE9="午",AE9="晚",AE9="x",AE9="X",AE9=""),_xlfn.IFS(AE9="M",9,AE9="M8",5,AE9="M9",9,AE9="M10",8,AE9="M15",7,AE9="M16",8,AE9="E",5,AE9="E13",9,AE9="E14",8,AE9="E15",7,AE9="E16",6,AE9="A",10,AE9="S",9,AE9="O",0,AE9="早",4.5,AE9="午",4,AE9="晚",4,AE9="x",0,AE9="X",0,AE9="",0,TRUE,0),IF(ISNUMBER(FIND(" ",AE9)),VALUE(MID(AE9,FIND(" ",AE9)+1,10))-VALUE(LEFT(AE9,FIND(" ",AE9)-1)),0))</f>
        <v>0</v>
      </c>
      <c r="AF33" s="2" cm="1">
        <f t="array" ref="AF33">IF(OR(AF9="M",AF9="M8",AF9="M9",AF9="M10",AF9="M15",AF9="M16",AF9="E",AF9="E13",AF9="E14",AF9="E15",AF9="E16",AF9="A",AF9="S",AF9="O",AF9="早",AF9="午",AF9="晚",AF9="x",AF9="X",AF9=""),_xlfn.IFS(AF9="M",9,AF9="M8",5,AF9="M9",9,AF9="M10",8,AF9="M15",7,AF9="M16",8,AF9="E",5,AF9="E13",9,AF9="E14",8,AF9="E15",7,AF9="E16",6,AF9="A",10,AF9="S",9,AF9="O",0,AF9="早",4.5,AF9="午",4,AF9="晚",4,AF9="x",0,AF9="X",0,AF9="",0,TRUE,0),IF(ISNUMBER(FIND(" ",AF9)),VALUE(MID(AF9,FIND(" ",AF9)+1,10))-VALUE(LEFT(AF9,FIND(" ",AF9)-1)),0))</f>
        <v>8</v>
      </c>
      <c r="AG33" s="1">
        <f t="shared" si="3"/>
        <v>86.5</v>
      </c>
    </row>
    <row r="34" spans="1:33">
      <c r="A34" s="45" t="s">
        <v>55</v>
      </c>
      <c r="B34" s="2" cm="1">
        <f t="array" ref="B34">IF(OR(B10="M",B10="M8",B10="M9",B10="M10",B10="M15",B10="M16",B10="E",B10="E13",B10="E14",B10="E15",B10="E16",B10="A",B10="S",B10="O",B10="早",B10="午",B10="晚",B10="x",B10="X",B10=""),_xlfn.IFS(B10="M",9,B10="M8",5,B10="M9",9,B10="M10",8,B10="M15",7,B10="M16",8,B10="E",5,B10="E13",9,B10="E14",8,B10="E15",7,B10="E16",6,B10="A",10,B10="S",9,B10="O",0,B10="早",4.5,B10="午",4,B10="晚",4,B10="x",0,B10="X",0,B10="",0,TRUE,0),IF(ISNUMBER(FIND(" ",B10)),VALUE(MID(B10,FIND(" ",B10)+1,10))-VALUE(LEFT(B10,FIND(" ",B10)-1)),0))</f>
        <v>4</v>
      </c>
      <c r="C34" s="2" cm="1">
        <f t="array" ref="C34">IF(OR(C10="M",C10="M8",C10="M9",C10="M10",C10="M15",C10="M16",C10="E",C10="E13",C10="E14",C10="E15",C10="E16",C10="A",C10="S",C10="O",C10="早",C10="午",C10="晚",C10="x",C10="X",C10=""),_xlfn.IFS(C10="M",9,C10="M8",5,C10="M9",9,C10="M10",8,C10="M15",7,C10="M16",8,C10="E",5,C10="E13",9,C10="E14",8,C10="E15",7,C10="E16",6,C10="A",10,C10="S",9,C10="O",0,C10="早",4.5,C10="午",4,C10="晚",4,C10="x",0,C10="X",0,C10="",0,TRUE,0),IF(ISNUMBER(FIND(" ",C10)),VALUE(MID(C10,FIND(" ",C10)+1,10))-VALUE(LEFT(C10,FIND(" ",C10)-1)),0))</f>
        <v>4</v>
      </c>
      <c r="D34" s="2" cm="1">
        <f t="array" ref="D34">IF(OR(D10="M",D10="M8",D10="M9",D10="M10",D10="M15",D10="M16",D10="E",D10="E13",D10="E14",D10="E15",D10="E16",D10="A",D10="S",D10="O",D10="早",D10="午",D10="晚",D10="x",D10="X",D10=""),_xlfn.IFS(D10="M",9,D10="M8",5,D10="M9",9,D10="M10",8,D10="M15",7,D10="M16",8,D10="E",5,D10="E13",9,D10="E14",8,D10="E15",7,D10="E16",6,D10="A",10,D10="S",9,D10="O",0,D10="早",4.5,D10="午",4,D10="晚",4,D10="x",0,D10="X",0,D10="",0,TRUE,0),IF(ISNUMBER(FIND(" ",D10)),VALUE(MID(D10,FIND(" ",D10)+1,10))-VALUE(LEFT(D10,FIND(" ",D10)-1)),0))</f>
        <v>0</v>
      </c>
      <c r="E34" s="2" cm="1">
        <f t="array" ref="E34">IF(OR(E10="M",E10="M8",E10="M9",E10="M10",E10="M15",E10="M16",E10="E",E10="E13",E10="E14",E10="E15",E10="E16",E10="A",E10="S",E10="O",E10="早",E10="午",E10="晚",E10="x",E10="X",E10=""),_xlfn.IFS(E10="M",9,E10="M8",5,E10="M9",9,E10="M10",8,E10="M15",7,E10="M16",8,E10="E",5,E10="E13",9,E10="E14",8,E10="E15",7,E10="E16",6,E10="A",10,E10="S",9,E10="O",0,E10="早",4.5,E10="午",4,E10="晚",4,E10="x",0,E10="X",0,E10="",0,TRUE,0),IF(ISNUMBER(FIND(" ",E10)),VALUE(MID(E10,FIND(" ",E10)+1,10))-VALUE(LEFT(E10,FIND(" ",E10)-1)),0))</f>
        <v>4.5</v>
      </c>
      <c r="F34" s="2" cm="1">
        <f t="array" ref="F34">IF(OR(F10="M",F10="M8",F10="M9",F10="M10",F10="M15",F10="M16",F10="E",F10="E13",F10="E14",F10="E15",F10="E16",F10="A",F10="S",F10="O",F10="早",F10="午",F10="晚",F10="x",F10="X",F10=""),_xlfn.IFS(F10="M",9,F10="M8",5,F10="M9",9,F10="M10",8,F10="M15",7,F10="M16",8,F10="E",5,F10="E13",9,F10="E14",8,F10="E15",7,F10="E16",6,F10="A",10,F10="S",9,F10="O",0,F10="早",4.5,F10="午",4,F10="晚",4,F10="x",0,F10="X",0,F10="",0,TRUE,0),IF(ISNUMBER(FIND(" ",F10)),VALUE(MID(F10,FIND(" ",F10)+1,10))-VALUE(LEFT(F10,FIND(" ",F10)-1)),0))</f>
        <v>0</v>
      </c>
      <c r="G34" s="2" cm="1">
        <f t="array" ref="G34">IF(OR(G10="M",G10="M8",G10="M9",G10="M10",G10="M15",G10="M16",G10="E",G10="E13",G10="E14",G10="E15",G10="E16",G10="A",G10="S",G10="O",G10="早",G10="午",G10="晚",G10="x",G10="X",G10=""),_xlfn.IFS(G10="M",9,G10="M8",5,G10="M9",9,G10="M10",8,G10="M15",7,G10="M16",8,G10="E",5,G10="E13",9,G10="E14",8,G10="E15",7,G10="E16",6,G10="A",10,G10="S",9,G10="O",0,G10="早",4.5,G10="午",4,G10="晚",4,G10="x",0,G10="X",0,G10="",0,TRUE,0),IF(ISNUMBER(FIND(" ",G10)),VALUE(MID(G10,FIND(" ",G10)+1,10))-VALUE(LEFT(G10,FIND(" ",G10)-1)),0))</f>
        <v>4</v>
      </c>
      <c r="H34" s="2" cm="1">
        <f t="array" ref="H34">IF(OR(H10="M",H10="M8",H10="M9",H10="M10",H10="M15",H10="M16",H10="E",H10="E13",H10="E14",H10="E15",H10="E16",H10="A",H10="S",H10="O",H10="早",H10="午",H10="晚",H10="x",H10="X",H10=""),_xlfn.IFS(H10="M",9,H10="M8",5,H10="M9",9,H10="M10",8,H10="M15",7,H10="M16",8,H10="E",5,H10="E13",9,H10="E14",8,H10="E15",7,H10="E16",6,H10="A",10,H10="S",9,H10="O",0,H10="早",4.5,H10="午",4,H10="晚",4,H10="x",0,H10="X",0,H10="",0,TRUE,0),IF(ISNUMBER(FIND(" ",H10)),VALUE(MID(H10,FIND(" ",H10)+1,10))-VALUE(LEFT(H10,FIND(" ",H10)-1)),0))</f>
        <v>4</v>
      </c>
      <c r="I34" s="2" cm="1">
        <f t="array" ref="I34">IF(OR(I10="M",I10="M8",I10="M9",I10="M10",I10="M15",I10="M16",I10="E",I10="E13",I10="E14",I10="E15",I10="E16",I10="A",I10="S",I10="O",I10="早",I10="午",I10="晚",I10="x",I10="X",I10=""),_xlfn.IFS(I10="M",9,I10="M8",5,I10="M9",9,I10="M10",8,I10="M15",7,I10="M16",8,I10="E",5,I10="E13",9,I10="E14",8,I10="E15",7,I10="E16",6,I10="A",10,I10="S",9,I10="O",0,I10="早",4.5,I10="午",4,I10="晚",4,I10="x",0,I10="X",0,I10="",0,TRUE,0),IF(ISNUMBER(FIND(" ",I10)),VALUE(MID(I10,FIND(" ",I10)+1,10))-VALUE(LEFT(I10,FIND(" ",I10)-1)),0))</f>
        <v>0</v>
      </c>
      <c r="J34" s="2" cm="1">
        <f t="array" ref="J34">IF(OR(J10="M",J10="M8",J10="M9",J10="M10",J10="M15",J10="M16",J10="E",J10="E13",J10="E14",J10="E15",J10="E16",J10="A",J10="S",J10="O",J10="早",J10="午",J10="晚",J10="x",J10="X",J10=""),_xlfn.IFS(J10="M",9,J10="M8",5,J10="M9",9,J10="M10",8,J10="M15",7,J10="M16",8,J10="E",5,J10="E13",9,J10="E14",8,J10="E15",7,J10="E16",6,J10="A",10,J10="S",9,J10="O",0,J10="早",4.5,J10="午",4,J10="晚",4,J10="x",0,J10="X",0,J10="",0,TRUE,0),IF(ISNUMBER(FIND(" ",J10)),VALUE(MID(J10,FIND(" ",J10)+1,10))-VALUE(LEFT(J10,FIND(" ",J10)-1)),0))</f>
        <v>7</v>
      </c>
      <c r="K34" s="2" cm="1">
        <f t="array" ref="K34">IF(OR(K10="M",K10="M8",K10="M9",K10="M10",K10="M15",K10="M16",K10="E",K10="E13",K10="E14",K10="E15",K10="E16",K10="A",K10="S",K10="O",K10="早",K10="午",K10="晚",K10="x",K10="X",K10=""),_xlfn.IFS(K10="M",9,K10="M8",5,K10="M9",9,K10="M10",8,K10="M15",7,K10="M16",8,K10="E",5,K10="E13",9,K10="E14",8,K10="E15",7,K10="E16",6,K10="A",10,K10="S",9,K10="O",0,K10="早",4.5,K10="午",4,K10="晚",4,K10="x",0,K10="X",0,K10="",0,TRUE,0),IF(ISNUMBER(FIND(" ",K10)),VALUE(MID(K10,FIND(" ",K10)+1,10))-VALUE(LEFT(K10,FIND(" ",K10)-1)),0))</f>
        <v>0</v>
      </c>
      <c r="L34" s="2" cm="1">
        <f t="array" ref="L34">IF(OR(L10="M",L10="M8",L10="M9",L10="M10",L10="M15",L10="M16",L10="E",L10="E13",L10="E14",L10="E15",L10="E16",L10="A",L10="S",L10="O",L10="早",L10="午",L10="晚",L10="x",L10="X",L10=""),_xlfn.IFS(L10="M",9,L10="M8",5,L10="M9",9,L10="M10",8,L10="M15",7,L10="M16",8,L10="E",5,L10="E13",9,L10="E14",8,L10="E15",7,L10="E16",6,L10="A",10,L10="S",9,L10="O",0,L10="早",4.5,L10="午",4,L10="晚",4,L10="x",0,L10="X",0,L10="",0,TRUE,0),IF(ISNUMBER(FIND(" ",L10)),VALUE(MID(L10,FIND(" ",L10)+1,10))-VALUE(LEFT(L10,FIND(" ",L10)-1)),0))</f>
        <v>0</v>
      </c>
      <c r="M34" s="2" cm="1">
        <f t="array" ref="M34">IF(OR(M10="M",M10="M8",M10="M9",M10="M10",M10="M15",M10="M16",M10="E",M10="E13",M10="E14",M10="E15",M10="E16",M10="A",M10="S",M10="O",M10="早",M10="午",M10="晚",M10="x",M10="X",M10=""),_xlfn.IFS(M10="M",9,M10="M8",5,M10="M9",9,M10="M10",8,M10="M15",7,M10="M16",8,M10="E",5,M10="E13",9,M10="E14",8,M10="E15",7,M10="E16",6,M10="A",10,M10="S",9,M10="O",0,M10="早",4.5,M10="午",4,M10="晚",4,M10="x",0,M10="X",0,M10="",0,TRUE,0),IF(ISNUMBER(FIND(" ",M10)),VALUE(MID(M10,FIND(" ",M10)+1,10))-VALUE(LEFT(M10,FIND(" ",M10)-1)),0))</f>
        <v>0</v>
      </c>
      <c r="N34" s="2" cm="1">
        <f t="array" ref="N34">IF(OR(N10="M",N10="M8",N10="M9",N10="M10",N10="M15",N10="M16",N10="E",N10="E13",N10="E14",N10="E15",N10="E16",N10="A",N10="S",N10="O",N10="早",N10="午",N10="晚",N10="x",N10="X",N10=""),_xlfn.IFS(N10="M",9,N10="M8",5,N10="M9",9,N10="M10",8,N10="M15",7,N10="M16",8,N10="E",5,N10="E13",9,N10="E14",8,N10="E15",7,N10="E16",6,N10="A",10,N10="S",9,N10="O",0,N10="早",4.5,N10="午",4,N10="晚",4,N10="x",0,N10="X",0,N10="",0,TRUE,0),IF(ISNUMBER(FIND(" ",N10)),VALUE(MID(N10,FIND(" ",N10)+1,10))-VALUE(LEFT(N10,FIND(" ",N10)-1)),0))</f>
        <v>0</v>
      </c>
      <c r="O34" s="2" cm="1">
        <f t="array" ref="O34">IF(OR(O10="M",O10="M8",O10="M9",O10="M10",O10="M15",O10="M16",O10="E",O10="E13",O10="E14",O10="E15",O10="E16",O10="A",O10="S",O10="O",O10="早",O10="午",O10="晚",O10="x",O10="X",O10=""),_xlfn.IFS(O10="M",9,O10="M8",5,O10="M9",9,O10="M10",8,O10="M15",7,O10="M16",8,O10="E",5,O10="E13",9,O10="E14",8,O10="E15",7,O10="E16",6,O10="A",10,O10="S",9,O10="O",0,O10="早",4.5,O10="午",4,O10="晚",4,O10="x",0,O10="X",0,O10="",0,TRUE,0),IF(ISNUMBER(FIND(" ",O10)),VALUE(MID(O10,FIND(" ",O10)+1,10))-VALUE(LEFT(O10,FIND(" ",O10)-1)),0))</f>
        <v>4</v>
      </c>
      <c r="P34" s="2" cm="1">
        <f t="array" ref="P34">IF(OR(P10="M",P10="M8",P10="M9",P10="M10",P10="M15",P10="M16",P10="E",P10="E13",P10="E14",P10="E15",P10="E16",P10="A",P10="S",P10="O",P10="早",P10="午",P10="晚",P10="x",P10="X",P10=""),_xlfn.IFS(P10="M",9,P10="M8",5,P10="M9",9,P10="M10",8,P10="M15",7,P10="M16",8,P10="E",5,P10="E13",9,P10="E14",8,P10="E15",7,P10="E16",6,P10="A",10,P10="S",9,P10="O",0,P10="早",4.5,P10="午",4,P10="晚",4,P10="x",0,P10="X",0,P10="",0,TRUE,0),IF(ISNUMBER(FIND(" ",P10)),VALUE(MID(P10,FIND(" ",P10)+1,10))-VALUE(LEFT(P10,FIND(" ",P10)-1)),0))</f>
        <v>4</v>
      </c>
      <c r="Q34" s="2" cm="1">
        <f t="array" ref="Q34">IF(OR(Q10="M",Q10="M8",Q10="M9",Q10="M10",Q10="M15",Q10="M16",Q10="E",Q10="E13",Q10="E14",Q10="E15",Q10="E16",Q10="A",Q10="S",Q10="O",Q10="早",Q10="午",Q10="晚",Q10="x",Q10="X",Q10=""),_xlfn.IFS(Q10="M",9,Q10="M8",5,Q10="M9",9,Q10="M10",8,Q10="M15",7,Q10="M16",8,Q10="E",5,Q10="E13",9,Q10="E14",8,Q10="E15",7,Q10="E16",6,Q10="A",10,Q10="S",9,Q10="O",0,Q10="早",4.5,Q10="午",4,Q10="晚",4,Q10="x",0,Q10="X",0,Q10="",0,TRUE,0),IF(ISNUMBER(FIND(" ",Q10)),VALUE(MID(Q10,FIND(" ",Q10)+1,10))-VALUE(LEFT(Q10,FIND(" ",Q10)-1)),0))</f>
        <v>4</v>
      </c>
      <c r="R34" s="2" cm="1">
        <f t="array" ref="R34">IF(OR(R10="M",R10="M8",R10="M9",R10="M10",R10="M15",R10="M16",R10="E",R10="E13",R10="E14",R10="E15",R10="E16",R10="A",R10="S",R10="O",R10="早",R10="午",R10="晚",R10="x",R10="X",R10=""),_xlfn.IFS(R10="M",9,R10="M8",5,R10="M9",9,R10="M10",8,R10="M15",7,R10="M16",8,R10="E",5,R10="E13",9,R10="E14",8,R10="E15",7,R10="E16",6,R10="A",10,R10="S",9,R10="O",0,R10="早",4.5,R10="午",4,R10="晚",4,R10="x",0,R10="X",0,R10="",0,TRUE,0),IF(ISNUMBER(FIND(" ",R10)),VALUE(MID(R10,FIND(" ",R10)+1,10))-VALUE(LEFT(R10,FIND(" ",R10)-1)),0))</f>
        <v>0</v>
      </c>
      <c r="S34" s="2" cm="1">
        <f t="array" ref="S34">IF(OR(S10="M",S10="M8",S10="M9",S10="M10",S10="M15",S10="M16",S10="E",S10="E13",S10="E14",S10="E15",S10="E16",S10="A",S10="S",S10="O",S10="早",S10="午",S10="晚",S10="x",S10="X",S10=""),_xlfn.IFS(S10="M",9,S10="M8",5,S10="M9",9,S10="M10",8,S10="M15",7,S10="M16",8,S10="E",5,S10="E13",9,S10="E14",8,S10="E15",7,S10="E16",6,S10="A",10,S10="S",9,S10="O",0,S10="早",4.5,S10="午",4,S10="晚",4,S10="x",0,S10="X",0,S10="",0,TRUE,0),IF(ISNUMBER(FIND(" ",S10)),VALUE(MID(S10,FIND(" ",S10)+1,10))-VALUE(LEFT(S10,FIND(" ",S10)-1)),0))</f>
        <v>4.5</v>
      </c>
      <c r="T34" s="2" cm="1">
        <f t="array" ref="T34">IF(OR(T10="M",T10="M8",T10="M9",T10="M10",T10="M15",T10="M16",T10="E",T10="E13",T10="E14",T10="E15",T10="E16",T10="A",T10="S",T10="O",T10="早",T10="午",T10="晚",T10="x",T10="X",T10=""),_xlfn.IFS(T10="M",9,T10="M8",5,T10="M9",9,T10="M10",8,T10="M15",7,T10="M16",8,T10="E",5,T10="E13",9,T10="E14",8,T10="E15",7,T10="E16",6,T10="A",10,T10="S",9,T10="O",0,T10="早",4.5,T10="午",4,T10="晚",4,T10="x",0,T10="X",0,T10="",0,TRUE,0),IF(ISNUMBER(FIND(" ",T10)),VALUE(MID(T10,FIND(" ",T10)+1,10))-VALUE(LEFT(T10,FIND(" ",T10)-1)),0))</f>
        <v>0</v>
      </c>
      <c r="U34" s="2" cm="1">
        <f t="array" ref="U34">IF(OR(U10="M",U10="M8",U10="M9",U10="M10",U10="M15",U10="M16",U10="E",U10="E13",U10="E14",U10="E15",U10="E16",U10="A",U10="S",U10="O",U10="早",U10="午",U10="晚",U10="x",U10="X",U10=""),_xlfn.IFS(U10="M",9,U10="M8",5,U10="M9",9,U10="M10",8,U10="M15",7,U10="M16",8,U10="E",5,U10="E13",9,U10="E14",8,U10="E15",7,U10="E16",6,U10="A",10,U10="S",9,U10="O",0,U10="早",4.5,U10="午",4,U10="晚",4,U10="x",0,U10="X",0,U10="",0,TRUE,0),IF(ISNUMBER(FIND(" ",U10)),VALUE(MID(U10,FIND(" ",U10)+1,10))-VALUE(LEFT(U10,FIND(" ",U10)-1)),0))</f>
        <v>4</v>
      </c>
      <c r="V34" s="2" cm="1">
        <f t="array" ref="V34">IF(OR(V10="M",V10="M8",V10="M9",V10="M10",V10="M15",V10="M16",V10="E",V10="E13",V10="E14",V10="E15",V10="E16",V10="A",V10="S",V10="O",V10="早",V10="午",V10="晚",V10="x",V10="X",V10=""),_xlfn.IFS(V10="M",9,V10="M8",5,V10="M9",9,V10="M10",8,V10="M15",7,V10="M16",8,V10="E",5,V10="E13",9,V10="E14",8,V10="E15",7,V10="E16",6,V10="A",10,V10="S",9,V10="O",0,V10="早",4.5,V10="午",4,V10="晚",4,V10="x",0,V10="X",0,V10="",0,TRUE,0),IF(ISNUMBER(FIND(" ",V10)),VALUE(MID(V10,FIND(" ",V10)+1,10))-VALUE(LEFT(V10,FIND(" ",V10)-1)),0))</f>
        <v>4</v>
      </c>
      <c r="W34" s="2" cm="1">
        <f t="array" ref="W34">IF(OR(W10="M",W10="M8",W10="M9",W10="M10",W10="M15",W10="M16",W10="E",W10="E13",W10="E14",W10="E15",W10="E16",W10="A",W10="S",W10="O",W10="早",W10="午",W10="晚",W10="x",W10="X",W10=""),_xlfn.IFS(W10="M",9,W10="M8",5,W10="M9",9,W10="M10",8,W10="M15",7,W10="M16",8,W10="E",5,W10="E13",9,W10="E14",8,W10="E15",7,W10="E16",6,W10="A",10,W10="S",9,W10="O",0,W10="早",4.5,W10="午",4,W10="晚",4,W10="x",0,W10="X",0,W10="",0,TRUE,0),IF(ISNUMBER(FIND(" ",W10)),VALUE(MID(W10,FIND(" ",W10)+1,10))-VALUE(LEFT(W10,FIND(" ",W10)-1)),0))</f>
        <v>4</v>
      </c>
      <c r="X34" s="2" cm="1">
        <f t="array" ref="X34">IF(OR(X10="M",X10="M8",X10="M9",X10="M10",X10="M15",X10="M16",X10="E",X10="E13",X10="E14",X10="E15",X10="E16",X10="A",X10="S",X10="O",X10="早",X10="午",X10="晚",X10="x",X10="X",X10=""),_xlfn.IFS(X10="M",9,X10="M8",5,X10="M9",9,X10="M10",8,X10="M15",7,X10="M16",8,X10="E",5,X10="E13",9,X10="E14",8,X10="E15",7,X10="E16",6,X10="A",10,X10="S",9,X10="O",0,X10="早",4.5,X10="午",4,X10="晚",4,X10="x",0,X10="X",0,X10="",0,TRUE,0),IF(ISNUMBER(FIND(" ",X10)),VALUE(MID(X10,FIND(" ",X10)+1,10))-VALUE(LEFT(X10,FIND(" ",X10)-1)),0))</f>
        <v>4</v>
      </c>
      <c r="Y34" s="2" cm="1">
        <f t="array" ref="Y34">IF(OR(Y10="M",Y10="M8",Y10="M9",Y10="M10",Y10="M15",Y10="M16",Y10="E",Y10="E13",Y10="E14",Y10="E15",Y10="E16",Y10="A",Y10="S",Y10="O",Y10="早",Y10="午",Y10="晚",Y10="x",Y10="X",Y10=""),_xlfn.IFS(Y10="M",9,Y10="M8",5,Y10="M9",9,Y10="M10",8,Y10="M15",7,Y10="M16",8,Y10="E",5,Y10="E13",9,Y10="E14",8,Y10="E15",7,Y10="E16",6,Y10="A",10,Y10="S",9,Y10="O",0,Y10="早",4.5,Y10="午",4,Y10="晚",4,Y10="x",0,Y10="X",0,Y10="",0,TRUE,0),IF(ISNUMBER(FIND(" ",Y10)),VALUE(MID(Y10,FIND(" ",Y10)+1,10))-VALUE(LEFT(Y10,FIND(" ",Y10)-1)),0))</f>
        <v>0</v>
      </c>
      <c r="Z34" s="2" cm="1">
        <f t="array" ref="Z34">IF(OR(Z10="M",Z10="M8",Z10="M9",Z10="M10",Z10="M15",Z10="M16",Z10="E",Z10="E13",Z10="E14",Z10="E15",Z10="E16",Z10="A",Z10="S",Z10="O",Z10="早",Z10="午",Z10="晚",Z10="x",Z10="X",Z10=""),_xlfn.IFS(Z10="M",9,Z10="M8",5,Z10="M9",9,Z10="M10",8,Z10="M15",7,Z10="M16",8,Z10="E",5,Z10="E13",9,Z10="E14",8,Z10="E15",7,Z10="E16",6,Z10="A",10,Z10="S",9,Z10="O",0,Z10="早",4.5,Z10="午",4,Z10="晚",4,Z10="x",0,Z10="X",0,Z10="",0,TRUE,0),IF(ISNUMBER(FIND(" ",Z10)),VALUE(MID(Z10,FIND(" ",Z10)+1,10))-VALUE(LEFT(Z10,FIND(" ",Z10)-1)),0))</f>
        <v>0</v>
      </c>
      <c r="AA34" s="2" cm="1">
        <f t="array" ref="AA34">IF(OR(AA10="M",AA10="M8",AA10="M9",AA10="M10",AA10="M15",AA10="M16",AA10="E",AA10="E13",AA10="E14",AA10="E15",AA10="E16",AA10="A",AA10="S",AA10="O",AA10="早",AA10="午",AA10="晚",AA10="x",AA10="X",AA10=""),_xlfn.IFS(AA10="M",9,AA10="M8",5,AA10="M9",9,AA10="M10",8,AA10="M15",7,AA10="M16",8,AA10="E",5,AA10="E13",9,AA10="E14",8,AA10="E15",7,AA10="E16",6,AA10="A",10,AA10="S",9,AA10="O",0,AA10="早",4.5,AA10="午",4,AA10="晚",4,AA10="x",0,AA10="X",0,AA10="",0,TRUE,0),IF(ISNUMBER(FIND(" ",AA10)),VALUE(MID(AA10,FIND(" ",AA10)+1,10))-VALUE(LEFT(AA10,FIND(" ",AA10)-1)),0))</f>
        <v>0</v>
      </c>
      <c r="AB34" s="2" cm="1">
        <f t="array" ref="AB34">IF(OR(AB10="M",AB10="M8",AB10="M9",AB10="M10",AB10="M15",AB10="M16",AB10="E",AB10="E13",AB10="E14",AB10="E15",AB10="E16",AB10="A",AB10="S",AB10="O",AB10="早",AB10="午",AB10="晚",AB10="x",AB10="X",AB10=""),_xlfn.IFS(AB10="M",9,AB10="M8",5,AB10="M9",9,AB10="M10",8,AB10="M15",7,AB10="M16",8,AB10="E",5,AB10="E13",9,AB10="E14",8,AB10="E15",7,AB10="E16",6,AB10="A",10,AB10="S",9,AB10="O",0,AB10="早",4.5,AB10="午",4,AB10="晚",4,AB10="x",0,AB10="X",0,AB10="",0,TRUE,0),IF(ISNUMBER(FIND(" ",AB10)),VALUE(MID(AB10,FIND(" ",AB10)+1,10))-VALUE(LEFT(AB10,FIND(" ",AB10)-1)),0))</f>
        <v>4</v>
      </c>
      <c r="AC34" s="2" cm="1">
        <f t="array" ref="AC34">IF(OR(AC10="M",AC10="M8",AC10="M9",AC10="M10",AC10="M15",AC10="M16",AC10="E",AC10="E13",AC10="E14",AC10="E15",AC10="E16",AC10="A",AC10="S",AC10="O",AC10="早",AC10="午",AC10="晚",AC10="x",AC10="X",AC10=""),_xlfn.IFS(AC10="M",9,AC10="M8",5,AC10="M9",9,AC10="M10",8,AC10="M15",7,AC10="M16",8,AC10="E",5,AC10="E13",9,AC10="E14",8,AC10="E15",7,AC10="E16",6,AC10="A",10,AC10="S",9,AC10="O",0,AC10="早",4.5,AC10="午",4,AC10="晚",4,AC10="x",0,AC10="X",0,AC10="",0,TRUE,0),IF(ISNUMBER(FIND(" ",AC10)),VALUE(MID(AC10,FIND(" ",AC10)+1,10))-VALUE(LEFT(AC10,FIND(" ",AC10)-1)),0))</f>
        <v>0</v>
      </c>
      <c r="AD34" s="2" cm="1">
        <f t="array" ref="AD34">IF(OR(AD10="M",AD10="M8",AD10="M9",AD10="M10",AD10="M15",AD10="M16",AD10="E",AD10="E13",AD10="E14",AD10="E15",AD10="E16",AD10="A",AD10="S",AD10="O",AD10="早",AD10="午",AD10="晚",AD10="x",AD10="X",AD10=""),_xlfn.IFS(AD10="M",9,AD10="M8",5,AD10="M9",9,AD10="M10",8,AD10="M15",7,AD10="M16",8,AD10="E",5,AD10="E13",9,AD10="E14",8,AD10="E15",7,AD10="E16",6,AD10="A",10,AD10="S",9,AD10="O",0,AD10="早",4.5,AD10="午",4,AD10="晚",4,AD10="x",0,AD10="X",0,AD10="",0,TRUE,0),IF(ISNUMBER(FIND(" ",AD10)),VALUE(MID(AD10,FIND(" ",AD10)+1,10))-VALUE(LEFT(AD10,FIND(" ",AD10)-1)),0))</f>
        <v>4</v>
      </c>
      <c r="AE34" s="2" cm="1">
        <f t="array" ref="AE34">IF(OR(AE10="M",AE10="M8",AE10="M9",AE10="M10",AE10="M15",AE10="M16",AE10="E",AE10="E13",AE10="E14",AE10="E15",AE10="E16",AE10="A",AE10="S",AE10="O",AE10="早",AE10="午",AE10="晚",AE10="x",AE10="X",AE10=""),_xlfn.IFS(AE10="M",9,AE10="M8",5,AE10="M9",9,AE10="M10",8,AE10="M15",7,AE10="M16",8,AE10="E",5,AE10="E13",9,AE10="E14",8,AE10="E15",7,AE10="E16",6,AE10="A",10,AE10="S",9,AE10="O",0,AE10="早",4.5,AE10="午",4,AE10="晚",4,AE10="x",0,AE10="X",0,AE10="",0,TRUE,0),IF(ISNUMBER(FIND(" ",AE10)),VALUE(MID(AE10,FIND(" ",AE10)+1,10))-VALUE(LEFT(AE10,FIND(" ",AE10)-1)),0))</f>
        <v>4</v>
      </c>
      <c r="AF34" s="2" cm="1">
        <f t="array" ref="AF34">IF(OR(AF10="M",AF10="M8",AF10="M9",AF10="M10",AF10="M15",AF10="M16",AF10="E",AF10="E13",AF10="E14",AF10="E15",AF10="E16",AF10="A",AF10="S",AF10="O",AF10="早",AF10="午",AF10="晚",AF10="x",AF10="X",AF10=""),_xlfn.IFS(AF10="M",9,AF10="M8",5,AF10="M9",9,AF10="M10",8,AF10="M15",7,AF10="M16",8,AF10="E",5,AF10="E13",9,AF10="E14",8,AF10="E15",7,AF10="E16",6,AF10="A",10,AF10="S",9,AF10="O",0,AF10="早",4.5,AF10="午",4,AF10="晚",4,AF10="x",0,AF10="X",0,AF10="",0,TRUE,0),IF(ISNUMBER(FIND(" ",AF10)),VALUE(MID(AF10,FIND(" ",AF10)+1,10))-VALUE(LEFT(AF10,FIND(" ",AF10)-1)),0))</f>
        <v>0</v>
      </c>
      <c r="AG34" s="1">
        <f t="shared" si="3"/>
        <v>72</v>
      </c>
    </row>
  </sheetData>
  <mergeCells count="6">
    <mergeCell ref="D1:N1"/>
    <mergeCell ref="P1:T1"/>
    <mergeCell ref="V1:W1"/>
    <mergeCell ref="X1:Y1"/>
    <mergeCell ref="Z1:AA1"/>
    <mergeCell ref="AB1:AC1"/>
  </mergeCells>
  <phoneticPr fontId="1" type="noConversion"/>
  <conditionalFormatting sqref="B2:AF3">
    <cfRule type="expression" dxfId="1" priority="1">
      <formula>WEEKDAY(DATE($V$1+1911,$Z$1,COLUMN(A:A)),1)=1</formula>
    </cfRule>
    <cfRule type="expression" dxfId="0" priority="2">
      <formula>WEEKDAY(DATE($V$1+1911,$Z$1,COLUMN(A:A)),1)=7</formula>
    </cfRule>
  </conditionalFormatting>
  <dataValidations count="1">
    <dataValidation type="list" allowBlank="1" showInputMessage="1" showErrorMessage="1" sqref="M19 B4:AF7" xr:uid="{313A2BCC-7464-104D-9B7C-983219E0A510}">
      <formula1>$A$13:$A$26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Spinner 1">
              <controlPr defaultSize="0" print="0" autoPict="0">
                <anchor moveWithCells="1" sizeWithCells="1">
                  <from>
                    <xdr:col>32</xdr:col>
                    <xdr:colOff>114300</xdr:colOff>
                    <xdr:row>0</xdr:row>
                    <xdr:rowOff>25400</xdr:rowOff>
                  </from>
                  <to>
                    <xdr:col>32</xdr:col>
                    <xdr:colOff>520700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Spinner 2">
              <controlPr defaultSize="0" print="0" autoPict="0">
                <anchor moveWithCells="1" sizeWithCells="1">
                  <from>
                    <xdr:col>33</xdr:col>
                    <xdr:colOff>177800</xdr:colOff>
                    <xdr:row>0</xdr:row>
                    <xdr:rowOff>12700</xdr:rowOff>
                  </from>
                  <to>
                    <xdr:col>34</xdr:col>
                    <xdr:colOff>12700</xdr:colOff>
                    <xdr:row>1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>NHRI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NHRI</dc:creator>
  <cp:lastModifiedBy>seroma tsai</cp:lastModifiedBy>
  <cp:lastPrinted>2022-05-26T14:31:10Z</cp:lastPrinted>
  <dcterms:created xsi:type="dcterms:W3CDTF">2013-08-08T02:49:27Z</dcterms:created>
  <dcterms:modified xsi:type="dcterms:W3CDTF">2026-06-30T00:18:18Z</dcterms:modified>
</cp:coreProperties>
</file>